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3148" yWindow="-108" windowWidth="23256" windowHeight="12456" tabRatio="600" firstSheet="4" activeTab="6" autoFilterDateGrouping="1"/>
  </bookViews>
  <sheets>
    <sheet name="0.Resumen Gerencial" sheetId="1" state="visible" r:id="rId1"/>
    <sheet name="1.Total General" sheetId="2" state="visible" r:id="rId2"/>
    <sheet name="2.Por Capítulo" sheetId="3" state="visible" r:id="rId3"/>
    <sheet name="3.Detalle Ítems" sheetId="4" state="visible" r:id="rId4"/>
    <sheet name="4.Obra vs Compras" sheetId="5" state="visible" r:id="rId5"/>
    <sheet name="5.AIU Desglose" sheetId="6" state="visible" r:id="rId6"/>
    <sheet name="6.Pendientes RFQ" sheetId="7" state="visible" r:id="rId7"/>
    <sheet name="7.Fuentes y Notas" sheetId="8" state="visible" r:id="rId8"/>
    <sheet name="8.Validación ADIF" sheetId="9" state="visible" r:id="rId9"/>
  </sheets>
  <definedNames>
    <definedName name="_xlnm.Print_Area" localSheetId="0">'0.Resumen Gerencial'!$A$1:$F$35</definedName>
    <definedName name="_xlnm.Print_Titles" localSheetId="1">'1.Total General'!$1:$2</definedName>
    <definedName name="_xlnm.Print_Titles" localSheetId="2">'2.Por Capítulo'!$1:$1</definedName>
    <definedName name="_xlnm.Print_Titles" localSheetId="3">'3.Detalle Ítems'!$1:$1</definedName>
    <definedName name="_xlnm.Print_Titles" localSheetId="4">'4.Obra vs Compras'!$1:$4</definedName>
    <definedName name="_xlnm.Print_Titles" localSheetId="5">'5.AIU Desglose'!$1:$4</definedName>
    <definedName name="_xlnm.Print_Titles" localSheetId="6">'6.Pendientes RFQ'!$1:$4</definedName>
    <definedName name="_xlnm.Print_Titles" localSheetId="7">'7.Fuentes y Notas'!$1:$2</definedName>
  </definedNames>
  <calcPr calcId="191029" fullCalcOnLoad="1" iterateDelta="0.0001"/>
</workbook>
</file>

<file path=xl/styles.xml><?xml version="1.0" encoding="utf-8"?>
<styleSheet xmlns="http://schemas.openxmlformats.org/spreadsheetml/2006/main">
  <numFmts count="5">
    <numFmt numFmtId="164" formatCode="_-&quot;$&quot;\ * #,##0.00_-;\-&quot;$&quot;\ * #,##0.00_-;_-&quot;$&quot;\ * &quot;-&quot;??_-;_-@_-"/>
    <numFmt numFmtId="165" formatCode="&quot;$&quot;#,##0"/>
    <numFmt numFmtId="166" formatCode="&quot;$&quot;#,##0;[Red]\-&quot;$&quot;#,##0"/>
    <numFmt numFmtId="167" formatCode="0.0%;[Red]\-0.0%"/>
    <numFmt numFmtId="168" formatCode="#,##0 &quot;€&quot;"/>
  </numFmts>
  <fonts count="38">
    <font>
      <name val="Calibri"/>
      <family val="2"/>
      <color theme="1"/>
      <sz val="12"/>
      <scheme val="minor"/>
    </font>
    <font>
      <name val="Calibri"/>
      <family val="2"/>
      <color theme="1"/>
      <sz val="12"/>
      <scheme val="minor"/>
    </font>
    <font>
      <name val="Calibri"/>
      <color theme="1"/>
      <sz val="12"/>
      <scheme val="minor"/>
    </font>
    <font>
      <name val="Arial"/>
      <b val="1"/>
      <color rgb="FF000000"/>
      <sz val="11"/>
    </font>
    <font>
      <name val="Arial"/>
      <b val="1"/>
      <color rgb="FF000000"/>
      <sz val="12"/>
    </font>
    <font>
      <name val="Arial"/>
      <b val="1"/>
      <i val="1"/>
      <color rgb="FF000000"/>
      <sz val="12"/>
    </font>
    <font>
      <name val="Arial"/>
      <color rgb="FF000000"/>
      <sz val="11"/>
    </font>
    <font>
      <name val="Arial"/>
      <i val="1"/>
      <color rgb="FF595959"/>
      <sz val="9"/>
    </font>
    <font>
      <name val="Arial"/>
      <i val="1"/>
      <color rgb="FF595959"/>
      <sz val="11"/>
    </font>
    <font>
      <name val="Arial"/>
      <i val="1"/>
      <color rgb="FF000000"/>
      <sz val="11"/>
    </font>
    <font>
      <name val="Arial"/>
      <b val="1"/>
      <i val="1"/>
      <color rgb="FF595959"/>
      <sz val="11"/>
    </font>
    <font>
      <name val="Arial"/>
      <b val="1"/>
      <color rgb="FF000000"/>
      <sz val="14"/>
    </font>
    <font>
      <name val="Arial"/>
      <b val="1"/>
      <color rgb="FFC00000"/>
      <sz val="11"/>
    </font>
    <font>
      <name val="Arial"/>
      <b val="1"/>
      <i val="1"/>
      <color rgb="FF595959"/>
      <sz val="9"/>
    </font>
    <font>
      <name val="Arial"/>
      <family val="2"/>
      <color rgb="FF000000"/>
      <sz val="11"/>
    </font>
    <font>
      <name val="Arial"/>
      <family val="2"/>
      <b val="1"/>
      <color rgb="FF000000"/>
      <sz val="11"/>
    </font>
    <font>
      <name val="Arial"/>
      <family val="2"/>
      <b val="1"/>
      <color rgb="FF000000"/>
      <sz val="12"/>
    </font>
    <font>
      <name val="Calibri"/>
      <family val="2"/>
      <b val="1"/>
      <color theme="1"/>
      <sz val="12"/>
      <scheme val="minor"/>
    </font>
    <font>
      <name val="Arial"/>
      <family val="2"/>
      <b val="1"/>
      <color rgb="FF1D6F42"/>
      <sz val="11"/>
    </font>
    <font>
      <name val="Arial"/>
      <family val="2"/>
      <b val="1"/>
      <color rgb="FF000000"/>
      <sz val="10"/>
    </font>
    <font>
      <name val="Arial"/>
      <family val="2"/>
      <color rgb="FF000000"/>
      <sz val="10"/>
    </font>
    <font>
      <name val="Calibri"/>
      <family val="2"/>
      <color theme="1"/>
      <sz val="10"/>
      <scheme val="minor"/>
    </font>
    <font>
      <name val="Arial"/>
      <family val="2"/>
      <i val="1"/>
      <color rgb="FF595959"/>
      <sz val="9"/>
    </font>
    <font>
      <name val="Arial"/>
      <family val="2"/>
      <color theme="1"/>
      <sz val="11"/>
    </font>
    <font>
      <name val="Arial"/>
      <family val="2"/>
      <b val="1"/>
      <color theme="1"/>
      <sz val="11"/>
    </font>
    <font>
      <name val="Arial"/>
      <family val="2"/>
      <i val="1"/>
      <color rgb="FF000000"/>
      <sz val="10"/>
    </font>
    <font>
      <name val="Arial"/>
      <family val="2"/>
      <color rgb="FF000000"/>
      <sz val="12"/>
    </font>
    <font>
      <name val="Arial"/>
      <family val="2"/>
      <b val="1"/>
      <color rgb="FF000000"/>
      <sz val="14"/>
    </font>
    <font>
      <name val="Arial"/>
      <family val="2"/>
      <sz val="10"/>
    </font>
    <font>
      <name val="Arial"/>
      <b val="1"/>
      <color rgb="FFFF0000"/>
      <sz val="11"/>
    </font>
    <font>
      <name val="Arial"/>
      <family val="2"/>
      <b val="1"/>
      <color theme="3"/>
      <sz val="11"/>
    </font>
    <font>
      <name val="Calibri"/>
      <family val="2"/>
      <color theme="3"/>
      <sz val="12"/>
      <scheme val="minor"/>
    </font>
    <font>
      <b val="1"/>
      <color rgb="00FFFFFF"/>
      <sz val="13"/>
    </font>
    <font>
      <b val="1"/>
      <color rgb="00FFFFFF"/>
      <sz val="10"/>
    </font>
    <font>
      <color rgb="001B2A41"/>
      <sz val="9"/>
    </font>
    <font>
      <color rgb="00555555"/>
      <sz val="8.5"/>
    </font>
    <font>
      <b val="1"/>
      <sz val="9"/>
    </font>
    <font>
      <color rgb="001155CC"/>
      <sz val="8"/>
      <u val="single"/>
    </font>
  </fonts>
  <fills count="14">
    <fill>
      <patternFill/>
    </fill>
    <fill>
      <patternFill patternType="gray125"/>
    </fill>
    <fill>
      <patternFill patternType="solid">
        <fgColor rgb="FFF2F2F2"/>
        <bgColor indexed="64"/>
      </patternFill>
    </fill>
    <fill>
      <patternFill patternType="solid">
        <fgColor rgb="FFD9D9D9"/>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2CC"/>
        <bgColor indexed="64"/>
      </patternFill>
    </fill>
    <fill>
      <patternFill patternType="solid">
        <fgColor rgb="000A192F"/>
      </patternFill>
    </fill>
    <fill>
      <patternFill patternType="solid">
        <fgColor rgb="0014304A"/>
      </patternFill>
    </fill>
    <fill>
      <patternFill patternType="solid">
        <fgColor rgb="00E2E2E2"/>
      </patternFill>
    </fill>
    <fill>
      <patternFill patternType="solid">
        <fgColor rgb="00C6EFCE"/>
      </patternFill>
    </fill>
    <fill>
      <patternFill patternType="solid">
        <fgColor rgb="00FFEB9C"/>
      </patternFill>
    </fill>
    <fill>
      <patternFill patternType="solid">
        <fgColor rgb="00FFC7CE"/>
      </patternFill>
    </fill>
  </fills>
  <borders count="56">
    <border>
      <left/>
      <right/>
      <top/>
      <bottom/>
      <diagonal/>
    </border>
    <border>
      <left/>
      <right/>
      <top style="medium">
        <color auto="1"/>
      </top>
      <bottom/>
      <diagonal/>
    </border>
    <border>
      <left/>
      <right/>
      <top style="thin">
        <color auto="1"/>
      </top>
      <bottom style="thin">
        <color auto="1"/>
      </bottom>
      <diagonal/>
    </border>
    <border>
      <left/>
      <right/>
      <top style="thin">
        <color rgb="FFBFBFBF"/>
      </top>
      <bottom style="thin">
        <color rgb="FFBFBFBF"/>
      </bottom>
      <diagonal/>
    </border>
    <border>
      <left/>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thin">
        <color rgb="FFBFBFBF"/>
      </left>
      <right/>
      <top/>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rgb="FFBFBFBF"/>
      </left>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style="thin">
        <color rgb="FFBFBFBF"/>
      </right>
      <top style="thin">
        <color rgb="FFBFBFBF"/>
      </top>
      <bottom/>
      <diagonal/>
    </border>
    <border>
      <left style="thin">
        <color rgb="FFBFBFBF"/>
      </left>
      <right style="medium">
        <color indexed="64"/>
      </right>
      <top style="thin">
        <color rgb="FFBFBFBF"/>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style="double">
        <color rgb="FF000000"/>
      </top>
      <bottom/>
      <diagonal/>
    </border>
    <border>
      <left style="thin">
        <color auto="1"/>
      </left>
      <right/>
      <top style="double">
        <color rgb="FF000000"/>
      </top>
      <bottom/>
      <diagonal/>
    </border>
    <border>
      <left style="thin">
        <color indexed="64"/>
      </left>
      <right style="thin">
        <color rgb="FF000000"/>
      </right>
      <top style="double">
        <color rgb="FF000000"/>
      </top>
      <bottom/>
      <diagonal/>
    </border>
    <border>
      <left style="thin">
        <color rgb="FF000000"/>
      </left>
      <right/>
      <top style="thin">
        <color rgb="FFBFBFBF"/>
      </top>
      <bottom/>
      <diagonal/>
    </border>
    <border>
      <left style="thin">
        <color rgb="FF000000"/>
      </left>
      <right/>
      <top style="thin">
        <color rgb="FF000000"/>
      </top>
      <bottom style="thin">
        <color rgb="FF000000"/>
      </bottom>
      <diagonal/>
    </border>
    <border>
      <left style="thin">
        <color indexed="64"/>
      </left>
      <right/>
      <top style="thin">
        <color rgb="FFBFBFBF"/>
      </top>
      <bottom/>
      <diagonal/>
    </border>
    <border>
      <left style="thin">
        <color indexed="64"/>
      </left>
      <right/>
      <top style="thin">
        <color rgb="FF000000"/>
      </top>
      <bottom style="thin">
        <color rgb="FF000000"/>
      </bottom>
      <diagonal/>
    </border>
    <border>
      <left style="thin">
        <color indexed="64"/>
      </left>
      <right style="thin">
        <color rgb="FF000000"/>
      </right>
      <top style="thin">
        <color rgb="FFBFBFBF"/>
      </top>
      <bottom/>
      <diagonal/>
    </border>
    <border>
      <left style="thin">
        <color indexed="64"/>
      </left>
      <right style="thin">
        <color rgb="FF000000"/>
      </right>
      <top style="thin">
        <color rgb="FF000000"/>
      </top>
      <bottom style="thin">
        <color rgb="FF000000"/>
      </bottom>
      <diagonal/>
    </border>
    <border>
      <left/>
      <right/>
      <top style="thin">
        <color indexed="64"/>
      </top>
      <bottom style="thin">
        <color indexed="64"/>
      </bottom>
      <diagonal/>
    </border>
    <border>
      <left style="thin">
        <color rgb="00C9D3E0"/>
      </left>
      <right style="thin">
        <color rgb="00C9D3E0"/>
      </right>
      <top style="thin">
        <color rgb="00C9D3E0"/>
      </top>
      <bottom style="thin">
        <color rgb="00C9D3E0"/>
      </bottom>
    </border>
  </borders>
  <cellStyleXfs count="2">
    <xf numFmtId="0" fontId="1" fillId="0" borderId="0"/>
    <xf numFmtId="44" fontId="1" fillId="0" borderId="0"/>
  </cellStyleXfs>
  <cellXfs count="320">
    <xf numFmtId="0" fontId="0" fillId="0" borderId="0" pivotButton="0" quotePrefix="0" xfId="0"/>
    <xf numFmtId="0" fontId="2" fillId="0" borderId="0" pivotButton="0" quotePrefix="0" xfId="0"/>
    <xf numFmtId="0" fontId="0" fillId="0" borderId="9" pivotButton="0" quotePrefix="0" xfId="0"/>
    <xf numFmtId="0" fontId="0" fillId="0" borderId="0" applyAlignment="1" pivotButton="0" quotePrefix="0" xfId="0">
      <alignment wrapText="1"/>
    </xf>
    <xf numFmtId="0" fontId="7" fillId="0" borderId="0" applyAlignment="1" pivotButton="0" quotePrefix="0" xfId="0">
      <alignment wrapText="1"/>
    </xf>
    <xf numFmtId="0" fontId="6" fillId="0" borderId="0" pivotButton="0" quotePrefix="0" xfId="0"/>
    <xf numFmtId="0" fontId="3" fillId="2" borderId="5" pivotButton="0" quotePrefix="0" xfId="0"/>
    <xf numFmtId="0" fontId="3" fillId="4" borderId="7" pivotButton="0" quotePrefix="0" xfId="0"/>
    <xf numFmtId="0" fontId="3" fillId="4" borderId="6" pivotButton="0" quotePrefix="0" xfId="0"/>
    <xf numFmtId="0" fontId="6" fillId="4" borderId="6" pivotButton="0" quotePrefix="0" xfId="0"/>
    <xf numFmtId="0" fontId="6" fillId="4" borderId="0" pivotButton="0" quotePrefix="0" xfId="0"/>
    <xf numFmtId="0" fontId="7" fillId="0" borderId="0" pivotButton="0" quotePrefix="0" xfId="0"/>
    <xf numFmtId="0" fontId="4" fillId="3" borderId="0" pivotButton="0" quotePrefix="0" xfId="0"/>
    <xf numFmtId="0" fontId="6" fillId="0" borderId="16" pivotButton="0" quotePrefix="0" xfId="0"/>
    <xf numFmtId="0" fontId="3" fillId="0" borderId="0" pivotButton="0" quotePrefix="0" xfId="0"/>
    <xf numFmtId="3" fontId="6" fillId="0" borderId="0" pivotButton="0" quotePrefix="0" xfId="0"/>
    <xf numFmtId="0" fontId="3" fillId="2" borderId="0" pivotButton="0" quotePrefix="0" xfId="0"/>
    <xf numFmtId="164" fontId="6" fillId="4" borderId="6" pivotButton="0" quotePrefix="0" xfId="0"/>
    <xf numFmtId="164" fontId="6" fillId="4" borderId="8" pivotButton="0" quotePrefix="0" xfId="0"/>
    <xf numFmtId="0" fontId="3" fillId="2" borderId="22" applyAlignment="1" pivotButton="0" quotePrefix="0" xfId="0">
      <alignment horizontal="center"/>
    </xf>
    <xf numFmtId="0" fontId="6" fillId="4" borderId="19" pivotButton="0" quotePrefix="0" xfId="0"/>
    <xf numFmtId="164" fontId="6" fillId="4" borderId="19" pivotButton="0" quotePrefix="0" xfId="0"/>
    <xf numFmtId="0" fontId="6" fillId="4" borderId="8" pivotButton="0" quotePrefix="0" xfId="0"/>
    <xf numFmtId="0" fontId="3" fillId="2" borderId="22" applyAlignment="1" pivotButton="0" quotePrefix="0" xfId="0">
      <alignment horizontal="center" wrapText="1"/>
    </xf>
    <xf numFmtId="164" fontId="3" fillId="4" borderId="6" pivotButton="0" quotePrefix="0" xfId="0"/>
    <xf numFmtId="0" fontId="3" fillId="4" borderId="5" pivotButton="0" quotePrefix="0" xfId="0"/>
    <xf numFmtId="164" fontId="3" fillId="4" borderId="5" pivotButton="0" quotePrefix="0" xfId="1"/>
    <xf numFmtId="164" fontId="3" fillId="4" borderId="7" pivotButton="0" quotePrefix="0" xfId="1"/>
    <xf numFmtId="0" fontId="7" fillId="0" borderId="9" pivotButton="0" quotePrefix="0" xfId="0"/>
    <xf numFmtId="0" fontId="4" fillId="3" borderId="9" pivotButton="0" quotePrefix="0" xfId="0"/>
    <xf numFmtId="0" fontId="4" fillId="3" borderId="9" applyAlignment="1" pivotButton="0" quotePrefix="0" xfId="0">
      <alignment wrapText="1"/>
    </xf>
    <xf numFmtId="0" fontId="7" fillId="0" borderId="9" applyAlignment="1" pivotButton="0" quotePrefix="0" xfId="0">
      <alignment wrapText="1"/>
    </xf>
    <xf numFmtId="0" fontId="7" fillId="2" borderId="9" pivotButton="0" quotePrefix="0" xfId="0"/>
    <xf numFmtId="0" fontId="7" fillId="2" borderId="9" applyAlignment="1" pivotButton="0" quotePrefix="0" xfId="0">
      <alignment wrapText="1"/>
    </xf>
    <xf numFmtId="2" fontId="7" fillId="0" borderId="9" pivotButton="0" quotePrefix="0" xfId="0"/>
    <xf numFmtId="3" fontId="7" fillId="2" borderId="9" pivotButton="0" quotePrefix="0" xfId="0"/>
    <xf numFmtId="0" fontId="3" fillId="2" borderId="12" pivotButton="0" quotePrefix="0" xfId="0"/>
    <xf numFmtId="0" fontId="3" fillId="2" borderId="13" applyAlignment="1" pivotButton="0" quotePrefix="0" xfId="0">
      <alignment wrapText="1"/>
    </xf>
    <xf numFmtId="0" fontId="3" fillId="2" borderId="13" pivotButton="0" quotePrefix="0" xfId="0"/>
    <xf numFmtId="0" fontId="3" fillId="2" borderId="14" applyAlignment="1" pivotButton="0" quotePrefix="0" xfId="0">
      <alignment wrapText="1"/>
    </xf>
    <xf numFmtId="0" fontId="6" fillId="4" borderId="10" pivotButton="0" quotePrefix="0" xfId="0"/>
    <xf numFmtId="0" fontId="6" fillId="4" borderId="9" applyAlignment="1" pivotButton="0" quotePrefix="0" xfId="0">
      <alignment wrapText="1"/>
    </xf>
    <xf numFmtId="0" fontId="6" fillId="4" borderId="9" pivotButton="0" quotePrefix="0" xfId="0"/>
    <xf numFmtId="0" fontId="6" fillId="4" borderId="11" applyAlignment="1" pivotButton="0" quotePrefix="0" xfId="0">
      <alignment wrapText="1"/>
    </xf>
    <xf numFmtId="0" fontId="6" fillId="4" borderId="15" pivotButton="0" quotePrefix="0" xfId="0"/>
    <xf numFmtId="0" fontId="6" fillId="4" borderId="16" applyAlignment="1" pivotButton="0" quotePrefix="0" xfId="0">
      <alignment wrapText="1"/>
    </xf>
    <xf numFmtId="0" fontId="6" fillId="4" borderId="16" pivotButton="0" quotePrefix="0" xfId="0"/>
    <xf numFmtId="0" fontId="6" fillId="4" borderId="17" applyAlignment="1" pivotButton="0" quotePrefix="0" xfId="0">
      <alignment wrapText="1"/>
    </xf>
    <xf numFmtId="0" fontId="3" fillId="2" borderId="12" applyAlignment="1" pivotButton="0" quotePrefix="0" xfId="0">
      <alignment horizontal="center"/>
    </xf>
    <xf numFmtId="0" fontId="3" fillId="2" borderId="13" applyAlignment="1" pivotButton="0" quotePrefix="0" xfId="0">
      <alignment horizontal="center"/>
    </xf>
    <xf numFmtId="0" fontId="3" fillId="2" borderId="14" applyAlignment="1" pivotButton="0" quotePrefix="0" xfId="0">
      <alignment horizontal="center"/>
    </xf>
    <xf numFmtId="164" fontId="6" fillId="4" borderId="9" pivotButton="0" quotePrefix="0" xfId="1"/>
    <xf numFmtId="164" fontId="3" fillId="4" borderId="11" pivotButton="0" quotePrefix="0" xfId="1"/>
    <xf numFmtId="0" fontId="3" fillId="4" borderId="15" pivotButton="0" quotePrefix="0" xfId="0"/>
    <xf numFmtId="0" fontId="3" fillId="4" borderId="16" pivotButton="0" quotePrefix="0" xfId="0"/>
    <xf numFmtId="164" fontId="3" fillId="4" borderId="16" pivotButton="0" quotePrefix="0" xfId="1"/>
    <xf numFmtId="164" fontId="3" fillId="4" borderId="16" pivotButton="0" quotePrefix="0" xfId="0"/>
    <xf numFmtId="164" fontId="3" fillId="4" borderId="17" pivotButton="0" quotePrefix="0" xfId="1"/>
    <xf numFmtId="0" fontId="14" fillId="4" borderId="0" pivotButton="0" quotePrefix="0" xfId="0"/>
    <xf numFmtId="0" fontId="14" fillId="4" borderId="0" applyAlignment="1" pivotButton="0" quotePrefix="0" xfId="0">
      <alignment wrapText="1"/>
    </xf>
    <xf numFmtId="164" fontId="14" fillId="4" borderId="0" pivotButton="0" quotePrefix="0" xfId="1"/>
    <xf numFmtId="0" fontId="6" fillId="0" borderId="9" pivotButton="0" quotePrefix="0" xfId="0"/>
    <xf numFmtId="0" fontId="15" fillId="4" borderId="0" pivotButton="0" quotePrefix="0" xfId="0"/>
    <xf numFmtId="0" fontId="15" fillId="4" borderId="0" applyAlignment="1" pivotButton="0" quotePrefix="0" xfId="0">
      <alignment wrapText="1"/>
    </xf>
    <xf numFmtId="164" fontId="15" fillId="4" borderId="0" pivotButton="0" quotePrefix="0" xfId="1"/>
    <xf numFmtId="0" fontId="14" fillId="4" borderId="23" pivotButton="0" quotePrefix="0" xfId="0"/>
    <xf numFmtId="0" fontId="14" fillId="4" borderId="1" pivotButton="0" quotePrefix="0" xfId="0"/>
    <xf numFmtId="0" fontId="14" fillId="4" borderId="1" applyAlignment="1" pivotButton="0" quotePrefix="0" xfId="0">
      <alignment wrapText="1"/>
    </xf>
    <xf numFmtId="1" fontId="14" fillId="4" borderId="1" pivotButton="0" quotePrefix="0" xfId="0"/>
    <xf numFmtId="164" fontId="14" fillId="4" borderId="1" pivotButton="0" quotePrefix="0" xfId="1"/>
    <xf numFmtId="164" fontId="14" fillId="4" borderId="24" pivotButton="0" quotePrefix="0" xfId="1"/>
    <xf numFmtId="0" fontId="14" fillId="4" borderId="25" pivotButton="0" quotePrefix="0" xfId="0"/>
    <xf numFmtId="164" fontId="14" fillId="4" borderId="26" pivotButton="0" quotePrefix="0" xfId="1"/>
    <xf numFmtId="0" fontId="14" fillId="4" borderId="27" pivotButton="0" quotePrefix="0" xfId="0"/>
    <xf numFmtId="0" fontId="14" fillId="4" borderId="18" pivotButton="0" quotePrefix="0" xfId="0"/>
    <xf numFmtId="0" fontId="14" fillId="4" borderId="18" applyAlignment="1" pivotButton="0" quotePrefix="0" xfId="0">
      <alignment wrapText="1"/>
    </xf>
    <xf numFmtId="164" fontId="14" fillId="4" borderId="18" pivotButton="0" quotePrefix="0" xfId="1"/>
    <xf numFmtId="164" fontId="14" fillId="4" borderId="28" pivotButton="0" quotePrefix="0" xfId="1"/>
    <xf numFmtId="1" fontId="14" fillId="4" borderId="0" pivotButton="0" quotePrefix="0" xfId="0"/>
    <xf numFmtId="0" fontId="15" fillId="2" borderId="9" pivotButton="0" quotePrefix="0" xfId="0"/>
    <xf numFmtId="1" fontId="15" fillId="4" borderId="0" pivotButton="0" quotePrefix="0" xfId="0"/>
    <xf numFmtId="164" fontId="14" fillId="4" borderId="1" pivotButton="0" quotePrefix="0" xfId="0"/>
    <xf numFmtId="164" fontId="14" fillId="4" borderId="24" pivotButton="0" quotePrefix="0" xfId="0"/>
    <xf numFmtId="0" fontId="3" fillId="0" borderId="9" pivotButton="0" quotePrefix="0" xfId="0"/>
    <xf numFmtId="164" fontId="6" fillId="0" borderId="9" applyAlignment="1" pivotButton="0" quotePrefix="0" xfId="0">
      <alignment horizontal="right"/>
    </xf>
    <xf numFmtId="164" fontId="8" fillId="0" borderId="9" applyAlignment="1" pivotButton="0" quotePrefix="0" xfId="0">
      <alignment horizontal="right"/>
    </xf>
    <xf numFmtId="0" fontId="3" fillId="2" borderId="9" pivotButton="0" quotePrefix="0" xfId="0"/>
    <xf numFmtId="0" fontId="6" fillId="2" borderId="9" pivotButton="0" quotePrefix="0" xfId="0"/>
    <xf numFmtId="164" fontId="6" fillId="2" borderId="9" applyAlignment="1" pivotButton="0" quotePrefix="0" xfId="0">
      <alignment horizontal="right"/>
    </xf>
    <xf numFmtId="164" fontId="8" fillId="2" borderId="9" applyAlignment="1" pivotButton="0" quotePrefix="0" xfId="0">
      <alignment horizontal="right"/>
    </xf>
    <xf numFmtId="2" fontId="6" fillId="0" borderId="9" applyAlignment="1" pivotButton="0" quotePrefix="0" xfId="0">
      <alignment horizontal="right"/>
    </xf>
    <xf numFmtId="0" fontId="6" fillId="0" borderId="9" applyAlignment="1" pivotButton="0" quotePrefix="0" xfId="0">
      <alignment horizontal="right"/>
    </xf>
    <xf numFmtId="2" fontId="6" fillId="2" borderId="9" applyAlignment="1" pivotButton="0" quotePrefix="0" xfId="0">
      <alignment horizontal="right"/>
    </xf>
    <xf numFmtId="0" fontId="6" fillId="2" borderId="9" applyAlignment="1" pivotButton="0" quotePrefix="0" xfId="0">
      <alignment horizontal="right"/>
    </xf>
    <xf numFmtId="3" fontId="3" fillId="2" borderId="9" applyAlignment="1" pivotButton="0" quotePrefix="0" xfId="0">
      <alignment horizontal="right"/>
    </xf>
    <xf numFmtId="0" fontId="9" fillId="0" borderId="9" applyAlignment="1" pivotButton="0" quotePrefix="0" xfId="0">
      <alignment horizontal="right"/>
    </xf>
    <xf numFmtId="0" fontId="15" fillId="4" borderId="9" pivotButton="0" quotePrefix="0" xfId="0"/>
    <xf numFmtId="0" fontId="3" fillId="6" borderId="9" applyAlignment="1" pivotButton="0" quotePrefix="0" xfId="0">
      <alignment horizontal="center"/>
    </xf>
    <xf numFmtId="0" fontId="3" fillId="6" borderId="9" pivotButton="0" quotePrefix="0" xfId="0"/>
    <xf numFmtId="0" fontId="14" fillId="6" borderId="9" pivotButton="0" quotePrefix="0" xfId="0"/>
    <xf numFmtId="0" fontId="6" fillId="6" borderId="9" applyAlignment="1" pivotButton="0" quotePrefix="0" xfId="0">
      <alignment wrapText="1"/>
    </xf>
    <xf numFmtId="0" fontId="6" fillId="6" borderId="9" pivotButton="0" quotePrefix="0" xfId="0"/>
    <xf numFmtId="0" fontId="2" fillId="6" borderId="9" pivotButton="0" quotePrefix="0" xfId="0"/>
    <xf numFmtId="0" fontId="6" fillId="6" borderId="9" applyAlignment="1" pivotButton="0" quotePrefix="0" xfId="0">
      <alignment horizontal="center"/>
    </xf>
    <xf numFmtId="0" fontId="3" fillId="6" borderId="9" applyAlignment="1" pivotButton="0" quotePrefix="0" xfId="0">
      <alignment wrapText="1"/>
    </xf>
    <xf numFmtId="49" fontId="12" fillId="6" borderId="9" applyAlignment="1" pivotButton="0" quotePrefix="0" xfId="0">
      <alignment horizontal="center"/>
    </xf>
    <xf numFmtId="49" fontId="18" fillId="6" borderId="9" applyAlignment="1" pivotButton="0" quotePrefix="0" xfId="0">
      <alignment horizontal="center"/>
    </xf>
    <xf numFmtId="164" fontId="6" fillId="4" borderId="9" pivotButton="0" quotePrefix="0" xfId="0"/>
    <xf numFmtId="164" fontId="6" fillId="4" borderId="11" pivotButton="0" quotePrefix="0" xfId="0"/>
    <xf numFmtId="164" fontId="3" fillId="4" borderId="17" pivotButton="0" quotePrefix="0" xfId="0"/>
    <xf numFmtId="0" fontId="19" fillId="2" borderId="21" applyAlignment="1" pivotButton="0" quotePrefix="0" xfId="0">
      <alignment horizontal="center"/>
    </xf>
    <xf numFmtId="0" fontId="20" fillId="4" borderId="0" pivotButton="0" quotePrefix="0" xfId="0"/>
    <xf numFmtId="0" fontId="20" fillId="4" borderId="4" pivotButton="0" quotePrefix="0" xfId="0"/>
    <xf numFmtId="0" fontId="21" fillId="0" borderId="0" pivotButton="0" quotePrefix="0" xfId="0"/>
    <xf numFmtId="0" fontId="20" fillId="0" borderId="0" pivotButton="0" quotePrefix="0" xfId="0"/>
    <xf numFmtId="0" fontId="19" fillId="2" borderId="0" pivotButton="0" quotePrefix="0" xfId="0"/>
    <xf numFmtId="0" fontId="6" fillId="4" borderId="6" applyAlignment="1" pivotButton="0" quotePrefix="0" xfId="0">
      <alignment horizontal="left"/>
    </xf>
    <xf numFmtId="0" fontId="20" fillId="4" borderId="19" applyAlignment="1" pivotButton="0" quotePrefix="0" xfId="0">
      <alignment wrapText="1"/>
    </xf>
    <xf numFmtId="0" fontId="20" fillId="4" borderId="8" applyAlignment="1" pivotButton="0" quotePrefix="0" xfId="0">
      <alignment wrapText="1"/>
    </xf>
    <xf numFmtId="164" fontId="6" fillId="0" borderId="16" pivotButton="0" quotePrefix="0" xfId="1"/>
    <xf numFmtId="0" fontId="15" fillId="4" borderId="29" pivotButton="0" quotePrefix="0" xfId="0"/>
    <xf numFmtId="0" fontId="15" fillId="4" borderId="30" pivotButton="0" quotePrefix="0" xfId="0"/>
    <xf numFmtId="164" fontId="15" fillId="4" borderId="30" pivotButton="0" quotePrefix="0" xfId="1"/>
    <xf numFmtId="164" fontId="15" fillId="4" borderId="31" pivotButton="0" quotePrefix="0" xfId="1"/>
    <xf numFmtId="0" fontId="3" fillId="4" borderId="32" pivotButton="0" quotePrefix="0" xfId="0"/>
    <xf numFmtId="164" fontId="3" fillId="4" borderId="33" pivotButton="0" quotePrefix="0" xfId="1"/>
    <xf numFmtId="0" fontId="3" fillId="4" borderId="34" pivotButton="0" quotePrefix="0" xfId="0"/>
    <xf numFmtId="164" fontId="3" fillId="4" borderId="35" pivotButton="0" quotePrefix="0" xfId="1"/>
    <xf numFmtId="0" fontId="16" fillId="4" borderId="36" pivotButton="0" quotePrefix="0" xfId="0"/>
    <xf numFmtId="0" fontId="16" fillId="4" borderId="20" pivotButton="0" quotePrefix="0" xfId="0"/>
    <xf numFmtId="164" fontId="16" fillId="4" borderId="20" pivotButton="0" quotePrefix="0" xfId="1"/>
    <xf numFmtId="164" fontId="16" fillId="4" borderId="37" pivotButton="0" quotePrefix="0" xfId="1"/>
    <xf numFmtId="0" fontId="15" fillId="2" borderId="38" pivotButton="0" quotePrefix="0" xfId="0"/>
    <xf numFmtId="0" fontId="15" fillId="2" borderId="39" pivotButton="0" quotePrefix="0" xfId="0"/>
    <xf numFmtId="0" fontId="15" fillId="2" borderId="39" applyAlignment="1" pivotButton="0" quotePrefix="0" xfId="0">
      <alignment wrapText="1"/>
    </xf>
    <xf numFmtId="0" fontId="15" fillId="2" borderId="40" pivotButton="0" quotePrefix="0" xfId="0"/>
    <xf numFmtId="0" fontId="26" fillId="3" borderId="9" pivotButton="0" quotePrefix="0" xfId="0"/>
    <xf numFmtId="0" fontId="26" fillId="3" borderId="9" applyAlignment="1" pivotButton="0" quotePrefix="0" xfId="0">
      <alignment wrapText="1"/>
    </xf>
    <xf numFmtId="0" fontId="7" fillId="6" borderId="9" pivotButton="0" quotePrefix="0" xfId="0"/>
    <xf numFmtId="0" fontId="7" fillId="6" borderId="9" applyAlignment="1" pivotButton="0" quotePrefix="0" xfId="0">
      <alignment wrapText="1"/>
    </xf>
    <xf numFmtId="0" fontId="25" fillId="6" borderId="9" applyAlignment="1" pivotButton="0" quotePrefix="0" xfId="0">
      <alignment horizontal="left" vertical="top" wrapText="1"/>
    </xf>
    <xf numFmtId="3" fontId="26" fillId="3" borderId="9" pivotButton="0" quotePrefix="0" xfId="0"/>
    <xf numFmtId="0" fontId="14" fillId="4" borderId="9" pivotButton="0" quotePrefix="0" xfId="0"/>
    <xf numFmtId="3" fontId="14" fillId="4" borderId="9" pivotButton="0" quotePrefix="0" xfId="0"/>
    <xf numFmtId="38" fontId="14" fillId="4" borderId="9" pivotButton="0" quotePrefix="0" xfId="0"/>
    <xf numFmtId="0" fontId="24" fillId="4" borderId="9" pivotButton="0" quotePrefix="0" xfId="0"/>
    <xf numFmtId="38" fontId="15" fillId="4" borderId="9" pivotButton="0" quotePrefix="0" xfId="0"/>
    <xf numFmtId="0" fontId="24" fillId="2" borderId="9" pivotButton="0" quotePrefix="0" xfId="0"/>
    <xf numFmtId="0" fontId="23" fillId="4" borderId="9" pivotButton="0" quotePrefix="0" xfId="0"/>
    <xf numFmtId="3" fontId="23" fillId="4" borderId="9" pivotButton="0" quotePrefix="0" xfId="0"/>
    <xf numFmtId="3" fontId="24" fillId="4" borderId="9" pivotButton="0" quotePrefix="0" xfId="0"/>
    <xf numFmtId="38" fontId="24" fillId="4" borderId="9" pivotButton="0" quotePrefix="0" xfId="0"/>
    <xf numFmtId="0" fontId="15" fillId="2" borderId="0" pivotButton="0" quotePrefix="0" xfId="0"/>
    <xf numFmtId="0" fontId="28" fillId="0" borderId="0" applyAlignment="1" pivotButton="0" quotePrefix="0" xfId="0">
      <alignment vertical="top" wrapText="1"/>
    </xf>
    <xf numFmtId="0" fontId="28" fillId="0" borderId="4" applyAlignment="1" pivotButton="0" quotePrefix="0" xfId="0">
      <alignment vertical="top" wrapText="1"/>
    </xf>
    <xf numFmtId="0" fontId="28" fillId="0" borderId="3" applyAlignment="1" pivotButton="0" quotePrefix="0" xfId="0">
      <alignment vertical="top" wrapText="1"/>
    </xf>
    <xf numFmtId="0" fontId="22" fillId="0" borderId="0" applyAlignment="1" pivotButton="0" quotePrefix="0" xfId="0">
      <alignment wrapText="1"/>
    </xf>
    <xf numFmtId="0" fontId="24" fillId="4" borderId="9" pivotButton="0" quotePrefix="0" xfId="0"/>
    <xf numFmtId="0" fontId="22" fillId="0" borderId="9" pivotButton="0" quotePrefix="0" xfId="0"/>
    <xf numFmtId="0" fontId="24" fillId="2" borderId="9" pivotButton="0" quotePrefix="0" xfId="0"/>
    <xf numFmtId="0" fontId="20" fillId="0" borderId="9" applyAlignment="1" pivotButton="0" quotePrefix="0" xfId="0">
      <alignment wrapText="1"/>
    </xf>
    <xf numFmtId="0" fontId="15" fillId="0" borderId="9" pivotButton="0" quotePrefix="0" xfId="0"/>
    <xf numFmtId="0" fontId="15" fillId="2" borderId="9" pivotButton="0" quotePrefix="0" xfId="0"/>
    <xf numFmtId="0" fontId="26" fillId="3" borderId="9" applyAlignment="1" pivotButton="0" quotePrefix="0" xfId="0">
      <alignment horizontal="left"/>
    </xf>
    <xf numFmtId="0" fontId="22" fillId="4" borderId="9" applyAlignment="1" pivotButton="0" quotePrefix="0" xfId="0">
      <alignment wrapText="1"/>
    </xf>
    <xf numFmtId="0" fontId="27" fillId="3" borderId="9" pivotButton="0" quotePrefix="0" xfId="0"/>
    <xf numFmtId="0" fontId="6" fillId="3" borderId="9" pivotButton="0" quotePrefix="0" xfId="0"/>
    <xf numFmtId="0" fontId="7" fillId="0" borderId="9" pivotButton="0" quotePrefix="0" xfId="0"/>
    <xf numFmtId="0" fontId="9" fillId="0" borderId="9" pivotButton="0" quotePrefix="0" xfId="0"/>
    <xf numFmtId="0" fontId="13" fillId="3" borderId="9" pivotButton="0" quotePrefix="0" xfId="0"/>
    <xf numFmtId="0" fontId="13" fillId="3" borderId="9" applyAlignment="1" pivotButton="0" quotePrefix="0" xfId="0">
      <alignment wrapText="1"/>
    </xf>
    <xf numFmtId="0" fontId="6" fillId="6" borderId="9" applyAlignment="1" pivotButton="0" quotePrefix="0" xfId="0">
      <alignment horizontal="center" wrapText="1"/>
    </xf>
    <xf numFmtId="0" fontId="2" fillId="0" borderId="0" applyAlignment="1" pivotButton="0" quotePrefix="0" xfId="0">
      <alignment horizontal="left"/>
    </xf>
    <xf numFmtId="0" fontId="2" fillId="0" borderId="0" applyAlignment="1" pivotButton="0" quotePrefix="0" xfId="0">
      <alignment horizontal="left" wrapText="1"/>
    </xf>
    <xf numFmtId="0" fontId="17" fillId="5" borderId="16" applyAlignment="1" pivotButton="0" quotePrefix="0" xfId="0">
      <alignment horizontal="left"/>
    </xf>
    <xf numFmtId="0" fontId="4" fillId="3" borderId="9" pivotButton="0" quotePrefix="0" xfId="0"/>
    <xf numFmtId="0" fontId="4" fillId="3" borderId="0" pivotButton="0" quotePrefix="0" xfId="0"/>
    <xf numFmtId="0" fontId="3" fillId="6" borderId="9" pivotButton="0" quotePrefix="0" xfId="0"/>
    <xf numFmtId="0" fontId="3" fillId="6" borderId="9" applyAlignment="1" pivotButton="0" quotePrefix="0" xfId="0">
      <alignment horizontal="center"/>
    </xf>
    <xf numFmtId="0" fontId="11" fillId="3" borderId="11" applyAlignment="1" pivotButton="0" quotePrefix="0" xfId="0">
      <alignment horizontal="center"/>
    </xf>
    <xf numFmtId="0" fontId="11" fillId="3" borderId="2" applyAlignment="1" pivotButton="0" quotePrefix="0" xfId="0">
      <alignment horizontal="center"/>
    </xf>
    <xf numFmtId="0" fontId="11" fillId="3" borderId="10" applyAlignment="1" pivotButton="0" quotePrefix="0" xfId="0">
      <alignment horizontal="center"/>
    </xf>
    <xf numFmtId="0" fontId="7" fillId="2" borderId="11" applyAlignment="1" pivotButton="0" quotePrefix="0" xfId="0">
      <alignment horizontal="center"/>
    </xf>
    <xf numFmtId="0" fontId="7" fillId="2" borderId="2" applyAlignment="1" pivotButton="0" quotePrefix="0" xfId="0">
      <alignment horizontal="center"/>
    </xf>
    <xf numFmtId="0" fontId="7" fillId="2" borderId="10" applyAlignment="1" pivotButton="0" quotePrefix="0" xfId="0">
      <alignment horizontal="center"/>
    </xf>
    <xf numFmtId="0" fontId="3" fillId="3" borderId="11" applyAlignment="1" pivotButton="0" quotePrefix="0" xfId="0">
      <alignment horizontal="center"/>
    </xf>
    <xf numFmtId="0" fontId="3" fillId="3" borderId="2" applyAlignment="1" pivotButton="0" quotePrefix="0" xfId="0">
      <alignment horizontal="center"/>
    </xf>
    <xf numFmtId="0" fontId="3" fillId="3" borderId="10" applyAlignment="1" pivotButton="0" quotePrefix="0" xfId="0">
      <alignment horizontal="center"/>
    </xf>
    <xf numFmtId="0" fontId="7" fillId="2" borderId="11" applyAlignment="1" pivotButton="0" quotePrefix="0" xfId="0">
      <alignment horizontal="center" wrapText="1"/>
    </xf>
    <xf numFmtId="0" fontId="7" fillId="2" borderId="2" applyAlignment="1" pivotButton="0" quotePrefix="0" xfId="0">
      <alignment horizontal="center" wrapText="1"/>
    </xf>
    <xf numFmtId="0" fontId="7" fillId="2" borderId="10" applyAlignment="1" pivotButton="0" quotePrefix="0" xfId="0">
      <alignment horizontal="center" wrapText="1"/>
    </xf>
    <xf numFmtId="0" fontId="4" fillId="3" borderId="9" applyAlignment="1" pivotButton="0" quotePrefix="0" xfId="0">
      <alignment horizontal="center"/>
    </xf>
    <xf numFmtId="0" fontId="9" fillId="0" borderId="9" applyAlignment="1" pivotButton="0" quotePrefix="0" xfId="0">
      <alignment horizontal="center"/>
    </xf>
    <xf numFmtId="0" fontId="5" fillId="3" borderId="9" pivotButton="0" quotePrefix="0" xfId="0"/>
    <xf numFmtId="0" fontId="7" fillId="0" borderId="9" applyAlignment="1" pivotButton="0" quotePrefix="0" xfId="0">
      <alignment wrapText="1"/>
    </xf>
    <xf numFmtId="0" fontId="11" fillId="3" borderId="9" applyAlignment="1" pivotButton="0" quotePrefix="0" xfId="0">
      <alignment horizontal="left"/>
    </xf>
    <xf numFmtId="0" fontId="3" fillId="2" borderId="9" pivotButton="0" quotePrefix="0" xfId="0"/>
    <xf numFmtId="0" fontId="13" fillId="0" borderId="9" pivotButton="0" quotePrefix="0" xfId="0"/>
    <xf numFmtId="0" fontId="11" fillId="3" borderId="0" pivotButton="0" quotePrefix="0" xfId="0"/>
    <xf numFmtId="0" fontId="6" fillId="3" borderId="0" pivotButton="0" quotePrefix="0" xfId="0"/>
    <xf numFmtId="0" fontId="7" fillId="0" borderId="0" pivotButton="0" quotePrefix="0" xfId="0"/>
    <xf numFmtId="0" fontId="9" fillId="0" borderId="0" pivotButton="0" quotePrefix="0" xfId="0"/>
    <xf numFmtId="0" fontId="11" fillId="3" borderId="11" pivotButton="0" quotePrefix="0" xfId="0"/>
    <xf numFmtId="0" fontId="6" fillId="3" borderId="2" pivotButton="0" quotePrefix="0" xfId="0"/>
    <xf numFmtId="0" fontId="6" fillId="3" borderId="10" pivotButton="0" quotePrefix="0" xfId="0"/>
    <xf numFmtId="0" fontId="7" fillId="0" borderId="11" pivotButton="0" quotePrefix="0" xfId="0"/>
    <xf numFmtId="0" fontId="9" fillId="0" borderId="2" pivotButton="0" quotePrefix="0" xfId="0"/>
    <xf numFmtId="0" fontId="9" fillId="0" borderId="10" pivotButton="0" quotePrefix="0" xfId="0"/>
    <xf numFmtId="0" fontId="3" fillId="0" borderId="16" pivotButton="0" quotePrefix="0" xfId="0"/>
    <xf numFmtId="0" fontId="3" fillId="4" borderId="13" pivotButton="0" quotePrefix="0" xfId="0"/>
    <xf numFmtId="0" fontId="3" fillId="7" borderId="43" pivotButton="0" quotePrefix="0" xfId="0"/>
    <xf numFmtId="0" fontId="0" fillId="7" borderId="42" pivotButton="0" quotePrefix="0" xfId="0"/>
    <xf numFmtId="164" fontId="6" fillId="0" borderId="16" applyAlignment="1" pivotButton="0" quotePrefix="0" xfId="0">
      <alignment horizontal="right"/>
    </xf>
    <xf numFmtId="164" fontId="3" fillId="4" borderId="13" applyAlignment="1" pivotButton="0" quotePrefix="0" xfId="0">
      <alignment horizontal="right"/>
    </xf>
    <xf numFmtId="165" fontId="3" fillId="7" borderId="42" applyAlignment="1" pivotButton="0" quotePrefix="0" xfId="0">
      <alignment horizontal="right"/>
    </xf>
    <xf numFmtId="164" fontId="8" fillId="0" borderId="16" applyAlignment="1" pivotButton="0" quotePrefix="0" xfId="0">
      <alignment horizontal="right"/>
    </xf>
    <xf numFmtId="164" fontId="10" fillId="4" borderId="13" applyAlignment="1" pivotButton="0" quotePrefix="0" xfId="0">
      <alignment horizontal="right"/>
    </xf>
    <xf numFmtId="165" fontId="3" fillId="7" borderId="44" applyAlignment="1" pivotButton="0" quotePrefix="0" xfId="0">
      <alignment horizontal="right"/>
    </xf>
    <xf numFmtId="0" fontId="3" fillId="6" borderId="16" pivotButton="0" quotePrefix="0" xfId="0"/>
    <xf numFmtId="0" fontId="3" fillId="6" borderId="16" applyAlignment="1" pivotButton="0" quotePrefix="0" xfId="0">
      <alignment horizontal="right"/>
    </xf>
    <xf numFmtId="0" fontId="3" fillId="6" borderId="16" applyAlignment="1" pivotButton="0" quotePrefix="0" xfId="0">
      <alignment horizontal="center"/>
    </xf>
    <xf numFmtId="0" fontId="6" fillId="0" borderId="13" pivotButton="0" quotePrefix="0" xfId="0"/>
    <xf numFmtId="0" fontId="6" fillId="2" borderId="49" pivotButton="0" quotePrefix="0" xfId="0"/>
    <xf numFmtId="3" fontId="6" fillId="2" borderId="51" applyAlignment="1" pivotButton="0" quotePrefix="0" xfId="0">
      <alignment horizontal="right"/>
    </xf>
    <xf numFmtId="165" fontId="6" fillId="2" borderId="51" applyAlignment="1" pivotButton="0" quotePrefix="0" xfId="0">
      <alignment horizontal="right"/>
    </xf>
    <xf numFmtId="166" fontId="29" fillId="4" borderId="50" applyAlignment="1" pivotButton="0" quotePrefix="0" xfId="0">
      <alignment horizontal="right"/>
    </xf>
    <xf numFmtId="167" fontId="29" fillId="4" borderId="52" applyAlignment="1" pivotButton="0" quotePrefix="0" xfId="0">
      <alignment horizontal="center"/>
    </xf>
    <xf numFmtId="166" fontId="9" fillId="2" borderId="51" applyAlignment="1" pivotButton="0" quotePrefix="0" xfId="0">
      <alignment horizontal="right"/>
    </xf>
    <xf numFmtId="167" fontId="9" fillId="2" borderId="53" applyAlignment="1" pivotButton="0" quotePrefix="0" xfId="0">
      <alignment horizontal="center"/>
    </xf>
    <xf numFmtId="0" fontId="7" fillId="2" borderId="41" pivotButton="0" quotePrefix="0" xfId="0"/>
    <xf numFmtId="0" fontId="3" fillId="0" borderId="45" pivotButton="0" quotePrefix="0" xfId="0"/>
    <xf numFmtId="3" fontId="3" fillId="0" borderId="46" applyAlignment="1" pivotButton="0" quotePrefix="0" xfId="0">
      <alignment horizontal="right"/>
    </xf>
    <xf numFmtId="165" fontId="3" fillId="0" borderId="46" applyAlignment="1" pivotButton="0" quotePrefix="0" xfId="0">
      <alignment horizontal="right"/>
    </xf>
    <xf numFmtId="0" fontId="3" fillId="0" borderId="46" pivotButton="0" quotePrefix="0" xfId="0"/>
    <xf numFmtId="0" fontId="3" fillId="0" borderId="47" applyAlignment="1" pivotButton="0" quotePrefix="0" xfId="0">
      <alignment horizontal="center"/>
    </xf>
    <xf numFmtId="0" fontId="14" fillId="4" borderId="11" applyAlignment="1" pivotButton="0" quotePrefix="0" xfId="0">
      <alignment horizontal="left" wrapText="1"/>
    </xf>
    <xf numFmtId="0" fontId="14" fillId="4" borderId="2" applyAlignment="1" pivotButton="0" quotePrefix="0" xfId="0">
      <alignment horizontal="left" wrapText="1"/>
    </xf>
    <xf numFmtId="0" fontId="14" fillId="4" borderId="10" applyAlignment="1" pivotButton="0" quotePrefix="0" xfId="0">
      <alignment horizontal="left" wrapText="1"/>
    </xf>
    <xf numFmtId="0" fontId="30" fillId="6" borderId="9" pivotButton="0" quotePrefix="0" xfId="0"/>
    <xf numFmtId="0" fontId="30" fillId="6" borderId="9" applyAlignment="1" pivotButton="0" quotePrefix="0" xfId="0">
      <alignment horizontal="center"/>
    </xf>
    <xf numFmtId="49" fontId="30" fillId="6" borderId="9" applyAlignment="1" pivotButton="0" quotePrefix="0" xfId="0">
      <alignment horizontal="center"/>
    </xf>
    <xf numFmtId="0" fontId="30" fillId="4" borderId="48" pivotButton="0" quotePrefix="0" xfId="0"/>
    <xf numFmtId="3" fontId="30" fillId="4" borderId="50" applyAlignment="1" pivotButton="0" quotePrefix="0" xfId="0">
      <alignment horizontal="right"/>
    </xf>
    <xf numFmtId="165" fontId="30" fillId="4" borderId="50" applyAlignment="1" pivotButton="0" quotePrefix="0" xfId="0">
      <alignment horizontal="right"/>
    </xf>
    <xf numFmtId="0" fontId="0" fillId="0" borderId="0" applyAlignment="1" pivotButton="0" quotePrefix="0" xfId="0">
      <alignment horizontal="left"/>
    </xf>
    <xf numFmtId="0" fontId="31" fillId="0" borderId="0" applyAlignment="1" pivotButton="0" quotePrefix="0" xfId="0">
      <alignment horizontal="left"/>
    </xf>
    <xf numFmtId="0" fontId="11" fillId="3" borderId="9" applyAlignment="1" pivotButton="0" quotePrefix="0" xfId="0">
      <alignment horizontal="center"/>
    </xf>
    <xf numFmtId="0" fontId="0" fillId="0" borderId="54" pivotButton="0" quotePrefix="0" xfId="0"/>
    <xf numFmtId="0" fontId="0" fillId="0" borderId="10" pivotButton="0" quotePrefix="0" xfId="0"/>
    <xf numFmtId="0" fontId="7" fillId="2" borderId="9" applyAlignment="1" pivotButton="0" quotePrefix="0" xfId="0">
      <alignment horizontal="center"/>
    </xf>
    <xf numFmtId="0" fontId="3" fillId="3" borderId="9" applyAlignment="1" pivotButton="0" quotePrefix="0" xfId="0">
      <alignment horizontal="center"/>
    </xf>
    <xf numFmtId="0" fontId="7" fillId="2" borderId="9" applyAlignment="1" pivotButton="0" quotePrefix="0" xfId="0">
      <alignment horizontal="center" wrapText="1"/>
    </xf>
    <xf numFmtId="165" fontId="3" fillId="0" borderId="46" applyAlignment="1" pivotButton="0" quotePrefix="0" xfId="0">
      <alignment horizontal="right"/>
    </xf>
    <xf numFmtId="165" fontId="30" fillId="4" borderId="50" applyAlignment="1" pivotButton="0" quotePrefix="0" xfId="0">
      <alignment horizontal="right"/>
    </xf>
    <xf numFmtId="166" fontId="29" fillId="4" borderId="50" applyAlignment="1" pivotButton="0" quotePrefix="0" xfId="0">
      <alignment horizontal="right"/>
    </xf>
    <xf numFmtId="167" fontId="29" fillId="4" borderId="52" applyAlignment="1" pivotButton="0" quotePrefix="0" xfId="0">
      <alignment horizontal="center"/>
    </xf>
    <xf numFmtId="165" fontId="6" fillId="2" borderId="51" applyAlignment="1" pivotButton="0" quotePrefix="0" xfId="0">
      <alignment horizontal="right"/>
    </xf>
    <xf numFmtId="166" fontId="9" fillId="2" borderId="51" applyAlignment="1" pivotButton="0" quotePrefix="0" xfId="0">
      <alignment horizontal="right"/>
    </xf>
    <xf numFmtId="167" fontId="9" fillId="2" borderId="53" applyAlignment="1" pivotButton="0" quotePrefix="0" xfId="0">
      <alignment horizontal="center"/>
    </xf>
    <xf numFmtId="0" fontId="14" fillId="4" borderId="9" applyAlignment="1" pivotButton="0" quotePrefix="0" xfId="0">
      <alignment horizontal="left" wrapText="1"/>
    </xf>
    <xf numFmtId="0" fontId="0" fillId="0" borderId="41" pivotButton="0" quotePrefix="0" xfId="0"/>
    <xf numFmtId="0" fontId="0" fillId="0" borderId="15" pivotButton="0" quotePrefix="0" xfId="0"/>
    <xf numFmtId="164" fontId="6" fillId="0" borderId="9" applyAlignment="1" pivotButton="0" quotePrefix="0" xfId="0">
      <alignment horizontal="right"/>
    </xf>
    <xf numFmtId="164" fontId="8" fillId="0" borderId="9" applyAlignment="1" pivotButton="0" quotePrefix="0" xfId="0">
      <alignment horizontal="right"/>
    </xf>
    <xf numFmtId="164" fontId="6" fillId="2" borderId="9" applyAlignment="1" pivotButton="0" quotePrefix="0" xfId="0">
      <alignment horizontal="right"/>
    </xf>
    <xf numFmtId="164" fontId="6" fillId="0" borderId="16" applyAlignment="1" pivotButton="0" quotePrefix="0" xfId="0">
      <alignment horizontal="right"/>
    </xf>
    <xf numFmtId="164" fontId="8" fillId="0" borderId="16" applyAlignment="1" pivotButton="0" quotePrefix="0" xfId="0">
      <alignment horizontal="right"/>
    </xf>
    <xf numFmtId="165" fontId="3" fillId="7" borderId="42" applyAlignment="1" pivotButton="0" quotePrefix="0" xfId="0">
      <alignment horizontal="right"/>
    </xf>
    <xf numFmtId="165" fontId="3" fillId="7" borderId="44" applyAlignment="1" pivotButton="0" quotePrefix="0" xfId="0">
      <alignment horizontal="right"/>
    </xf>
    <xf numFmtId="164" fontId="3" fillId="4" borderId="13" applyAlignment="1" pivotButton="0" quotePrefix="0" xfId="0">
      <alignment horizontal="right"/>
    </xf>
    <xf numFmtId="164" fontId="10" fillId="4" borderId="13" applyAlignment="1" pivotButton="0" quotePrefix="0" xfId="0">
      <alignment horizontal="right"/>
    </xf>
    <xf numFmtId="164" fontId="8" fillId="2" borderId="9" applyAlignment="1" pivotButton="0" quotePrefix="0" xfId="0">
      <alignment horizontal="right"/>
    </xf>
    <xf numFmtId="164" fontId="6" fillId="4" borderId="9" pivotButton="0" quotePrefix="0" xfId="1"/>
    <xf numFmtId="164" fontId="6" fillId="4" borderId="9" pivotButton="0" quotePrefix="0" xfId="0"/>
    <xf numFmtId="164" fontId="6" fillId="4" borderId="11" pivotButton="0" quotePrefix="0" xfId="0"/>
    <xf numFmtId="164" fontId="3" fillId="4" borderId="16" pivotButton="0" quotePrefix="0" xfId="1"/>
    <xf numFmtId="164" fontId="3" fillId="4" borderId="16" pivotButton="0" quotePrefix="0" xfId="0"/>
    <xf numFmtId="164" fontId="3" fillId="4" borderId="17" pivotButton="0" quotePrefix="0" xfId="0"/>
    <xf numFmtId="164" fontId="6" fillId="4" borderId="19" pivotButton="0" quotePrefix="0" xfId="0"/>
    <xf numFmtId="164" fontId="6" fillId="4" borderId="8" pivotButton="0" quotePrefix="0" xfId="0"/>
    <xf numFmtId="164" fontId="3" fillId="4" borderId="6" pivotButton="0" quotePrefix="0" xfId="0"/>
    <xf numFmtId="164" fontId="6" fillId="4" borderId="6" pivotButton="0" quotePrefix="0" xfId="0"/>
    <xf numFmtId="164" fontId="14" fillId="4" borderId="0" pivotButton="0" quotePrefix="0" xfId="1"/>
    <xf numFmtId="164" fontId="14" fillId="4" borderId="26" pivotButton="0" quotePrefix="0" xfId="1"/>
    <xf numFmtId="164" fontId="14" fillId="4" borderId="18" pivotButton="0" quotePrefix="0" xfId="1"/>
    <xf numFmtId="164" fontId="14" fillId="4" borderId="28" pivotButton="0" quotePrefix="0" xfId="1"/>
    <xf numFmtId="164" fontId="15" fillId="4" borderId="0" pivotButton="0" quotePrefix="0" xfId="1"/>
    <xf numFmtId="164" fontId="14" fillId="4" borderId="1" pivotButton="0" quotePrefix="0" xfId="0"/>
    <xf numFmtId="164" fontId="14" fillId="4" borderId="24" pivotButton="0" quotePrefix="0" xfId="0"/>
    <xf numFmtId="164" fontId="14" fillId="4" borderId="1" pivotButton="0" quotePrefix="0" xfId="1"/>
    <xf numFmtId="164" fontId="14" fillId="4" borderId="24" pivotButton="0" quotePrefix="0" xfId="1"/>
    <xf numFmtId="164" fontId="6" fillId="0" borderId="16" pivotButton="0" quotePrefix="0" xfId="1"/>
    <xf numFmtId="164" fontId="15" fillId="4" borderId="30" pivotButton="0" quotePrefix="0" xfId="1"/>
    <xf numFmtId="164" fontId="15" fillId="4" borderId="31" pivotButton="0" quotePrefix="0" xfId="1"/>
    <xf numFmtId="164" fontId="3" fillId="4" borderId="5" pivotButton="0" quotePrefix="0" xfId="1"/>
    <xf numFmtId="164" fontId="3" fillId="4" borderId="33" pivotButton="0" quotePrefix="0" xfId="1"/>
    <xf numFmtId="164" fontId="3" fillId="4" borderId="7" pivotButton="0" quotePrefix="0" xfId="1"/>
    <xf numFmtId="164" fontId="3" fillId="4" borderId="35" pivotButton="0" quotePrefix="0" xfId="1"/>
    <xf numFmtId="164" fontId="16" fillId="4" borderId="20" pivotButton="0" quotePrefix="0" xfId="1"/>
    <xf numFmtId="164" fontId="16" fillId="4" borderId="37" pivotButton="0" quotePrefix="0" xfId="1"/>
    <xf numFmtId="164" fontId="3" fillId="4" borderId="11" pivotButton="0" quotePrefix="0" xfId="1"/>
    <xf numFmtId="164" fontId="3" fillId="4" borderId="17" pivotButton="0" quotePrefix="0" xfId="1"/>
    <xf numFmtId="0" fontId="11" fillId="3" borderId="9" pivotButton="0" quotePrefix="0" xfId="0"/>
    <xf numFmtId="0" fontId="0" fillId="0" borderId="4" pivotButton="0" quotePrefix="0" xfId="0"/>
    <xf numFmtId="0" fontId="0" fillId="0" borderId="3" pivotButton="0" quotePrefix="0" xfId="0"/>
    <xf numFmtId="0" fontId="32" fillId="8" borderId="0" applyAlignment="1" pivotButton="0" quotePrefix="0" xfId="0">
      <alignment horizontal="left" vertical="center"/>
    </xf>
    <xf numFmtId="0" fontId="33" fillId="9" borderId="55" applyAlignment="1" pivotButton="0" quotePrefix="0" xfId="0">
      <alignment horizontal="left" vertical="center" wrapText="1"/>
    </xf>
    <xf numFmtId="0" fontId="33" fillId="9" borderId="55" applyAlignment="1" pivotButton="0" quotePrefix="0" xfId="0">
      <alignment horizontal="center" vertical="center"/>
    </xf>
    <xf numFmtId="0" fontId="34" fillId="0" borderId="55" applyAlignment="1" pivotButton="0" quotePrefix="0" xfId="0">
      <alignment horizontal="left" vertical="center" wrapText="1"/>
    </xf>
    <xf numFmtId="3" fontId="0" fillId="0" borderId="55" applyAlignment="1" pivotButton="0" quotePrefix="0" xfId="0">
      <alignment horizontal="right" vertical="center"/>
    </xf>
    <xf numFmtId="168" fontId="0" fillId="0" borderId="55" applyAlignment="1" pivotButton="0" quotePrefix="0" xfId="0">
      <alignment horizontal="right" vertical="center"/>
    </xf>
    <xf numFmtId="0" fontId="0" fillId="0" borderId="55" applyAlignment="1" pivotButton="0" quotePrefix="0" xfId="0">
      <alignment horizontal="right" vertical="center"/>
    </xf>
    <xf numFmtId="0" fontId="36" fillId="10" borderId="55" applyAlignment="1" pivotButton="0" quotePrefix="0" xfId="0">
      <alignment horizontal="center" vertical="center"/>
    </xf>
    <xf numFmtId="0" fontId="35" fillId="0" borderId="55" applyAlignment="1" pivotButton="0" quotePrefix="0" xfId="0">
      <alignment horizontal="left" vertical="center" wrapText="1"/>
    </xf>
    <xf numFmtId="0" fontId="0" fillId="0" borderId="55" applyAlignment="1" pivotButton="0" quotePrefix="0" xfId="0">
      <alignment horizontal="left" vertical="center" wrapText="1"/>
    </xf>
    <xf numFmtId="0" fontId="36" fillId="11" borderId="55" applyAlignment="1" pivotButton="0" quotePrefix="0" xfId="0">
      <alignment horizontal="center" vertical="center"/>
    </xf>
    <xf numFmtId="0" fontId="37" fillId="0" borderId="55" applyAlignment="1" pivotButton="0" quotePrefix="0" xfId="0">
      <alignment horizontal="left" vertical="center" wrapText="1"/>
    </xf>
    <xf numFmtId="0" fontId="36" fillId="12" borderId="55" applyAlignment="1" pivotButton="0" quotePrefix="0" xfId="0">
      <alignment horizontal="center" vertical="center"/>
    </xf>
    <xf numFmtId="0" fontId="36" fillId="13" borderId="55" applyAlignment="1" pivotButton="0" quotePrefix="0" xfId="0">
      <alignment horizontal="center" vertical="center"/>
    </xf>
    <xf numFmtId="0" fontId="35" fillId="0" borderId="0" pivotButton="0" quotePrefix="0" xfId="0"/>
  </cellXfs>
  <cellStyles count="2">
    <cellStyle name="Normal" xfId="0" builtinId="0"/>
    <cellStyle name="Moneda" xfId="1" builtinId="4"/>
  </cellStyles>
  <dxfs count="57">
    <dxf>
      <font>
        <name val="Arial"/>
        <color rgb="FF000000"/>
        <sz val="11"/>
      </font>
      <fill>
        <patternFill patternType="solid">
          <fgColor indexed="64"/>
          <bgColor rgb="FFFFFFFF"/>
        </patternFill>
      </fill>
      <alignment wrapText="1"/>
      <border>
        <left style="thin">
          <color indexed="64"/>
        </left>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alignment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Arial"/>
        <color rgb="FF000000"/>
        <sz val="11"/>
      </font>
      <fill>
        <patternFill patternType="solid">
          <fgColor indexed="64"/>
          <bgColor rgb="FFFFFFFF"/>
        </patternFill>
      </fill>
    </dxf>
    <dxf>
      <border>
        <bottom style="thin">
          <color indexed="64"/>
        </bottom>
      </border>
    </dxf>
    <dxf>
      <font>
        <name val="Arial"/>
        <b val="1"/>
        <color rgb="FF000000"/>
        <sz val="11"/>
      </font>
      <fill>
        <patternFill patternType="solid">
          <fgColor indexed="64"/>
          <bgColor rgb="FFF2F2F2"/>
        </patternFill>
      </fill>
      <border>
        <left style="thin">
          <color indexed="64"/>
        </left>
        <right style="thin">
          <color indexed="64"/>
        </right>
        <top/>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fill>
        <patternFill patternType="solid">
          <fgColor indexed="64"/>
          <bgColor rgb="FFFFFFFF"/>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Arial"/>
        <strike val="0"/>
        <outline val="0"/>
        <shadow val="0"/>
        <condense val="0"/>
        <color rgb="FF000000"/>
        <extend val="0"/>
        <sz val="11"/>
        <vertAlign val="baseline"/>
        <scheme val="minor"/>
      </font>
      <fill>
        <patternFill patternType="solid">
          <fgColor indexed="64"/>
          <bgColor rgb="FFFFFFFF"/>
        </patternFill>
      </fill>
    </dxf>
    <dxf>
      <border>
        <bottom style="thin">
          <color indexed="64"/>
        </bottom>
      </border>
    </dxf>
    <dxf>
      <font>
        <name val="Arial"/>
        <b val="1"/>
        <color rgb="FF000000"/>
        <sz val="11"/>
      </font>
      <fill>
        <patternFill patternType="solid">
          <fgColor indexed="64"/>
          <bgColor rgb="FFF2F2F2"/>
        </patternFill>
      </fill>
      <alignment horizontal="center"/>
      <border>
        <left style="thin">
          <color indexed="64"/>
        </left>
        <right style="thin">
          <color indexed="64"/>
        </right>
        <top/>
        <bottom/>
        <vertical style="thin">
          <color indexed="64"/>
        </vertical>
        <horizontal style="thin">
          <color indexed="64"/>
        </horizontal>
      </border>
    </dxf>
    <dxf>
      <font>
        <name val="Arial"/>
        <strike val="0"/>
        <outline val="0"/>
        <shadow val="0"/>
        <condense val="0"/>
        <color rgb="FF000000"/>
        <extend val="0"/>
        <sz val="11"/>
        <vertAlign val="baseline"/>
        <scheme val="minor"/>
      </font>
      <numFmt numFmtId="34" formatCode="_-&quot;$&quot;\ * #,##0.00_-;\-&quot;$&quot;\ * #,##0.00_-;_-&quot;$&quot;\ * &quot;-&quot;??_-;_-@_-"/>
      <fill>
        <patternFill patternType="solid">
          <fgColor indexed="64"/>
          <bgColor rgb="FFFFFFFF"/>
        </patternFill>
      </fill>
      <border>
        <left style="thin">
          <color rgb="FFBFBFBF"/>
        </left>
        <right/>
        <top style="thin">
          <color rgb="FFBFBFBF"/>
        </top>
        <bottom/>
        <vertical/>
        <horizontal/>
      </border>
    </dxf>
    <dxf>
      <font>
        <name val="Arial"/>
        <strike val="0"/>
        <outline val="0"/>
        <shadow val="0"/>
        <condense val="0"/>
        <color rgb="FF000000"/>
        <extend val="0"/>
        <sz val="11"/>
        <vertAlign val="baseline"/>
        <scheme val="minor"/>
      </font>
      <numFmt numFmtId="34" formatCode="_-&quot;$&quot;\ * #,##0.00_-;\-&quot;$&quot;\ * #,##0.00_-;_-&quot;$&quot;\ * &quot;-&quot;??_-;_-@_-"/>
      <fill>
        <patternFill patternType="solid">
          <fgColor indexed="64"/>
          <bgColor rgb="FFFFFFFF"/>
        </patternFill>
      </fill>
      <border>
        <left style="thin">
          <color rgb="FFBFBFBF"/>
        </left>
        <right/>
        <top style="thin">
          <color rgb="FFBFBFBF"/>
        </top>
        <bottom/>
        <vertical/>
        <horizontal/>
      </border>
    </dxf>
    <dxf>
      <font>
        <name val="Arial"/>
        <strike val="0"/>
        <outline val="0"/>
        <shadow val="0"/>
        <condense val="0"/>
        <color rgb="FF000000"/>
        <extend val="0"/>
        <sz val="11"/>
        <vertAlign val="baseline"/>
        <scheme val="minor"/>
      </font>
      <numFmt numFmtId="34" formatCode="_-&quot;$&quot;\ * #,##0.00_-;\-&quot;$&quot;\ * #,##0.00_-;_-&quot;$&quot;\ * &quot;-&quot;??_-;_-@_-"/>
      <fill>
        <patternFill patternType="solid">
          <fgColor indexed="64"/>
          <bgColor rgb="FFFFFFFF"/>
        </patternFill>
      </fill>
      <border>
        <left style="thin">
          <color rgb="FFBFBFBF"/>
        </left>
        <right/>
        <top style="thin">
          <color rgb="FFBFBFBF"/>
        </top>
        <bottom/>
        <vertical/>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rgb="FFBFBFBF"/>
        </left>
        <right/>
        <top style="thin">
          <color rgb="FFBFBFBF"/>
        </top>
        <bottom/>
        <vertical/>
        <horizontal/>
      </border>
    </dxf>
    <dxf>
      <font>
        <name val="Arial"/>
        <strike val="0"/>
        <outline val="0"/>
        <shadow val="0"/>
        <condense val="0"/>
        <color rgb="FF000000"/>
        <extend val="0"/>
        <sz val="11"/>
        <vertAlign val="baseline"/>
        <scheme val="minor"/>
      </font>
      <fill>
        <patternFill patternType="solid">
          <fgColor indexed="64"/>
          <bgColor rgb="FFFFFFFF"/>
        </patternFill>
      </fill>
      <border>
        <left style="thin">
          <color rgb="FFBFBFBF"/>
        </left>
        <right/>
        <top style="thin">
          <color rgb="FFBFBFBF"/>
        </top>
        <bottom/>
        <vertical/>
        <horizontal/>
      </border>
    </dxf>
    <dxf>
      <font>
        <name val="Arial"/>
        <strike val="0"/>
        <outline val="0"/>
        <shadow val="0"/>
        <condense val="0"/>
        <color rgb="FF000000"/>
        <extend val="0"/>
        <sz val="11"/>
        <vertAlign val="baseline"/>
        <scheme val="minor"/>
      </font>
      <fill>
        <patternFill patternType="solid">
          <fgColor indexed="64"/>
          <bgColor rgb="FFFFFFFF"/>
        </patternFill>
      </fill>
      <border outline="0">
        <left/>
        <right/>
        <top style="thin">
          <color rgb="FFBFBFBF"/>
        </top>
        <bottom/>
      </border>
    </dxf>
    <dxf>
      <font>
        <name val="Arial"/>
        <strike val="0"/>
        <outline val="0"/>
        <shadow val="0"/>
        <condense val="0"/>
        <color rgb="FF000000"/>
        <extend val="0"/>
        <sz val="10"/>
        <vertAlign val="baseline"/>
      </font>
      <fill>
        <patternFill patternType="solid">
          <fgColor indexed="64"/>
          <bgColor rgb="FFFFFFFF"/>
        </patternFill>
      </fill>
      <alignment horizontal="general" vertical="bottom" wrapText="1"/>
      <border outline="0">
        <left style="thin">
          <color rgb="FFBFBFBF"/>
        </left>
        <right/>
        <top style="thin">
          <color rgb="FFBFBFBF"/>
        </top>
        <bottom/>
      </border>
    </dxf>
    <dxf>
      <font>
        <name val="Arial"/>
        <strike val="0"/>
        <outline val="0"/>
        <shadow val="0"/>
        <condense val="0"/>
        <color rgb="FF000000"/>
        <extend val="0"/>
        <sz val="11"/>
        <vertAlign val="baseline"/>
        <scheme val="minor"/>
      </font>
      <fill>
        <patternFill patternType="solid">
          <fgColor indexed="64"/>
          <bgColor rgb="FFFFFFFF"/>
        </patternFill>
      </fill>
      <border outline="0">
        <left style="thin">
          <color rgb="FFBFBFBF"/>
        </left>
        <right style="thin">
          <color rgb="FFBFBFBF"/>
        </right>
        <top style="thin">
          <color rgb="FFBFBFBF"/>
        </top>
        <bottom/>
      </border>
    </dxf>
    <dxf>
      <font>
        <name val="Arial"/>
        <strike val="0"/>
        <outline val="0"/>
        <shadow val="0"/>
        <condense val="0"/>
        <color rgb="FF000000"/>
        <extend val="0"/>
        <sz val="11"/>
        <vertAlign val="baseline"/>
        <scheme val="minor"/>
      </font>
      <fill>
        <patternFill patternType="solid">
          <fgColor indexed="64"/>
          <bgColor rgb="FFFFFFFF"/>
        </patternFill>
      </fill>
      <border outline="0">
        <left/>
        <right/>
        <top style="thin">
          <color rgb="FFBFBFBF"/>
        </top>
        <bottom/>
      </border>
    </dxf>
    <dxf>
      <font>
        <name val="Arial"/>
        <strike val="0"/>
        <outline val="0"/>
        <shadow val="0"/>
        <condense val="0"/>
        <color rgb="FF000000"/>
        <extend val="0"/>
        <sz val="10"/>
        <vertAlign val="baseline"/>
        <scheme val="minor"/>
      </font>
      <fill>
        <patternFill patternType="solid">
          <fgColor indexed="64"/>
          <bgColor rgb="FFFFFFFF"/>
        </patternFill>
      </fill>
      <border outline="0">
        <left/>
        <right/>
        <top style="thin">
          <color rgb="FFBFBFBF"/>
        </top>
        <bottom/>
      </border>
    </dxf>
    <dxf>
      <border outline="0">
        <left style="thin">
          <color theme="1"/>
        </left>
        <right style="thin">
          <color theme="1"/>
        </right>
        <top style="thin">
          <color theme="1"/>
        </top>
      </border>
    </dxf>
    <dxf>
      <font>
        <name val="Arial"/>
        <strike val="0"/>
        <outline val="0"/>
        <shadow val="0"/>
        <condense val="0"/>
        <color rgb="FF000000"/>
        <extend val="0"/>
        <sz val="11"/>
        <vertAlign val="baseline"/>
        <scheme val="minor"/>
      </font>
      <fill>
        <patternFill patternType="solid">
          <fgColor indexed="64"/>
          <bgColor rgb="FFFFFFFF"/>
        </patternFill>
      </fill>
    </dxf>
    <dxf>
      <border>
        <bottom style="medium">
          <color rgb="FF000000"/>
        </bottom>
      </border>
    </dxf>
    <dxf>
      <font>
        <name val="Arial"/>
        <b val="1"/>
        <strike val="0"/>
        <outline val="0"/>
        <shadow val="0"/>
        <condense val="0"/>
        <color rgb="FF000000"/>
        <extend val="0"/>
        <sz val="11"/>
        <vertAlign val="baseline"/>
        <scheme val="minor"/>
      </font>
      <fill>
        <patternFill patternType="solid">
          <fgColor indexed="64"/>
          <bgColor rgb="FFF2F2F2"/>
        </patternFill>
      </fill>
      <alignment horizontal="center" vertical="bottom"/>
      <border>
        <left style="thin">
          <color rgb="FFBFBFBF"/>
        </left>
        <right style="thin">
          <color rgb="FFBFBFBF"/>
        </right>
        <top/>
        <bottom/>
      </border>
    </dxf>
    <dxf>
      <font>
        <name val="Arial"/>
        <color rgb="FF000000"/>
        <sz val="11"/>
      </font>
      <border>
        <left style="thin">
          <color indexed="64"/>
        </left>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000000"/>
        <extend val="0"/>
        <sz val="11"/>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color rgb="FF000000"/>
        <sz val="1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Arial"/>
        <strike val="0"/>
        <outline val="0"/>
        <shadow val="0"/>
        <condense val="0"/>
        <color rgb="FF000000"/>
        <extend val="0"/>
        <sz val="11"/>
        <vertAlign val="baseline"/>
        <scheme val="minor"/>
      </font>
    </dxf>
    <dxf>
      <border>
        <bottom style="thin">
          <color indexed="64"/>
        </bottom>
      </border>
    </dxf>
    <dxf>
      <font>
        <name val="Arial"/>
        <b val="1"/>
        <color rgb="FF000000"/>
        <sz val="11"/>
      </font>
      <fill>
        <patternFill patternType="solid">
          <fgColor indexed="64"/>
          <bgColor rgb="FFF2F2F2"/>
        </patternFill>
      </fill>
      <alignment horizontal="center"/>
      <border>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Capitulos" displayName="TablaCapitulos" ref="A1:J8" headerRowCount="1" totalsRowShown="0" headerRowDxfId="56" dataDxfId="54" headerRowBorderDxfId="55" tableBorderDxfId="53" totalsRowBorderDxfId="52" dataCellStyle="Moneda">
  <autoFilter ref="A1:J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CAPÍTULO" dataDxfId="51"/>
    <tableColumn id="2" name="NOMBRE" dataDxfId="50"/>
    <tableColumn id="3" name="SUMINISTROS" dataDxfId="49" dataCellStyle="Moneda"/>
    <tableColumn id="4" name="OBRA CIVIL" dataDxfId="48" dataCellStyle="Moneda"/>
    <tableColumn id="5" name="SERVICIOS" dataDxfId="47"/>
    <tableColumn id="6" name="COSTO DIRECTO" dataDxfId="46" dataCellStyle="Moneda"/>
    <tableColumn id="7" name="AIU 33% OBRA" dataDxfId="45"/>
    <tableColumn id="8" name="IVA" dataDxfId="44" dataCellStyle="Moneda"/>
    <tableColumn id="9" name="TOTAL CAP (COP)" dataDxfId="43" dataCellStyle="Moneda"/>
    <tableColumn id="10" name="TOTAL CAP (USD)" dataDxfId="42"/>
  </tableColumns>
  <tableStyleInfo name="TableStyleLight1" showFirstColumn="0" showLastColumn="0" showRowStripes="0" showColumnStripes="0"/>
</table>
</file>

<file path=xl/tables/table2.xml><?xml version="1.0" encoding="utf-8"?>
<table xmlns="http://schemas.openxmlformats.org/spreadsheetml/2006/main" id="2" name="Tabla2" displayName="Tabla2" ref="A1:J134" headerRowCount="1" totalsRowShown="0" headerRowDxfId="41" dataDxfId="39" headerRowBorderDxfId="40" tableBorderDxfId="38">
  <tableColumns count="10">
    <tableColumn id="1" name="Capítulo" dataDxfId="37"/>
    <tableColumn id="2" name="SUB CAP" dataDxfId="36"/>
    <tableColumn id="3" name="ÍTEM" dataDxfId="35"/>
    <tableColumn id="4" name="DESCRIPCIÓN" dataDxfId="34"/>
    <tableColumn id="5" name="TIPO" dataDxfId="33"/>
    <tableColumn id="6" name="UNIDAD" dataDxfId="32"/>
    <tableColumn id="7" name="CANTIDAD" dataDxfId="31"/>
    <tableColumn id="8" name="VU (COP)" dataDxfId="30"/>
    <tableColumn id="9" name="TOTAL (COP)" dataDxfId="29">
      <calculatedColumnFormula>Tabla2[[#This Row],[VU (COP)]]*Tabla2[[#This Row],[CANTIDAD]]</calculatedColumnFormula>
    </tableColumn>
    <tableColumn id="10" name="TOTAL (USD)" dataDxfId="28">
      <calculatedColumnFormula>Tabla2[[#This Row],[TOTAL (COP)]]/$M$1</calculatedColumnFormula>
    </tableColumn>
  </tableColumns>
  <tableStyleInfo name="TableStyleLight1" showFirstColumn="0" showLastColumn="0" showRowStripes="0" showColumnStripes="0"/>
</table>
</file>

<file path=xl/tables/table3.xml><?xml version="1.0" encoding="utf-8"?>
<table xmlns="http://schemas.openxmlformats.org/spreadsheetml/2006/main" id="3" name="TablaAIU" displayName="TablaAIU" ref="A4:L11" headerRowCount="1" totalsRowShown="0" headerRowDxfId="27" dataDxfId="25" headerRowBorderDxfId="26" tableBorderDxfId="24" totalsRowBorderDxfId="23" dataCellStyle="Moneda">
  <autoFilter ref="A4:L1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autoFilter>
  <tableColumns count="12">
    <tableColumn id="1" name="CAP" dataDxfId="22"/>
    <tableColumn id="2" name="NOMBRE" dataDxfId="21"/>
    <tableColumn id="3" name="CD" dataDxfId="20" dataCellStyle="Moneda"/>
    <tableColumn id="4" name="Adm 23%" dataDxfId="19" dataCellStyle="Moneda"/>
    <tableColumn id="5" name="Imp 5%" dataDxfId="18" dataCellStyle="Moneda"/>
    <tableColumn id="6" name="Util 5%" dataDxfId="17" dataCellStyle="Moneda"/>
    <tableColumn id="7" name="AIU Total" dataDxfId="16" dataCellStyle="Moneda"/>
    <tableColumn id="8" name="IVA Sum" dataDxfId="15" dataCellStyle="Moneda"/>
    <tableColumn id="9" name="IVA Serv" dataDxfId="14" dataCellStyle="Moneda"/>
    <tableColumn id="10" name="IVA Util" dataDxfId="13" dataCellStyle="Moneda"/>
    <tableColumn id="11" name="IVA Total" dataDxfId="12" dataCellStyle="Moneda"/>
    <tableColumn id="12" name="TOTAL CAP" dataDxfId="11" dataCellStyle="Moneda"/>
  </tableColumns>
  <tableStyleInfo name="TableStyleLight1" showFirstColumn="0" showLastColumn="0" showRowStripes="0" showColumnStripes="0"/>
</table>
</file>

<file path=xl/tables/table4.xml><?xml version="1.0" encoding="utf-8"?>
<table xmlns="http://schemas.openxmlformats.org/spreadsheetml/2006/main" id="4" name="TablaRFQ" displayName="TablaRFQ" ref="A4:F13" headerRowCount="1" totalsRowShown="0" headerRowDxfId="10" dataDxfId="8" headerRowBorderDxfId="9" tableBorderDxfId="7" totalsRowBorderDxfId="6">
  <autoFilter ref="A4:F13">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ÍTEM WBS" dataDxfId="5"/>
    <tableColumn id="2" name="CONCEPTO" dataDxfId="4"/>
    <tableColumn id="3" name="VU ACTUAL" dataDxfId="3"/>
    <tableColumn id="4" name="FUENTE" dataDxfId="2"/>
    <tableColumn id="5" name="ESTADO" dataDxfId="1"/>
    <tableColumn id="6" name="PROVEEDORES PRIORIZADOS"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hyperlink" Target="https://bpa.adif.es/bp1/#/concept/152945939" TargetMode="External" Id="rId1" /><Relationship Type="http://schemas.openxmlformats.org/officeDocument/2006/relationships/hyperlink" Target="https://bpa.adif.es/bp1/#/concept/152945939" TargetMode="External" Id="rId2" /><Relationship Type="http://schemas.openxmlformats.org/officeDocument/2006/relationships/hyperlink" Target="https://bpa.adif.es/bp1/#/concept/152945939" TargetMode="External" Id="rId3" /><Relationship Type="http://schemas.openxmlformats.org/officeDocument/2006/relationships/hyperlink" Target="https://bpa.adif.es/bp1/#/concept/152945939" TargetMode="External" Id="rId4" /><Relationship Type="http://schemas.openxmlformats.org/officeDocument/2006/relationships/hyperlink" Target="https://bpa.adif.es/bp1/#/concept/152945939" TargetMode="External" Id="rId5" /><Relationship Type="http://schemas.openxmlformats.org/officeDocument/2006/relationships/hyperlink" Target="https://bpa.adif.es/bp1/#/concept/156706377" TargetMode="External" Id="rId6" /><Relationship Type="http://schemas.openxmlformats.org/officeDocument/2006/relationships/hyperlink" Target="https://bpa.adif.es/bp1/#/concept/151681024" TargetMode="External" Id="rId7" /><Relationship Type="http://schemas.openxmlformats.org/officeDocument/2006/relationships/hyperlink" Target="https://bpa.adif.es/bp1/#/concept/153988522" TargetMode="External" Id="rId8" /><Relationship Type="http://schemas.openxmlformats.org/officeDocument/2006/relationships/hyperlink" Target="https://bpa.adif.es/bp1/#/concept/158651112" TargetMode="External" Id="rId9" /></Relationships>
</file>

<file path=xl/worksheets/sheet1.xml><?xml version="1.0" encoding="utf-8"?>
<worksheet xmlns="http://schemas.openxmlformats.org/spreadsheetml/2006/main">
  <sheetPr>
    <outlinePr summaryBelow="1" summaryRight="1"/>
    <pageSetUpPr/>
  </sheetPr>
  <dimension ref="A1:F49"/>
  <sheetViews>
    <sheetView workbookViewId="0">
      <pane ySplit="7" topLeftCell="A8" activePane="bottomLeft" state="frozen"/>
      <selection pane="bottomLeft" activeCell="A10" sqref="A10:E10"/>
    </sheetView>
  </sheetViews>
  <sheetFormatPr baseColWidth="10" defaultRowHeight="15.75"/>
  <cols>
    <col width="51.625" customWidth="1" min="1" max="1"/>
    <col width="17.875" customWidth="1" min="2" max="2"/>
    <col width="22" bestFit="1" customWidth="1" min="3" max="3"/>
    <col width="31.25" customWidth="1" min="4" max="4"/>
    <col width="26.625" bestFit="1" customWidth="1" min="5" max="5"/>
    <col width="15" customWidth="1" min="6" max="6"/>
  </cols>
  <sheetData>
    <row r="1" ht="32.1" customHeight="1">
      <c r="A1" s="246" t="inlineStr">
        <is>
          <t>RESUMEN GERENCIAL CAPEX UF2</t>
        </is>
      </c>
      <c r="B1" s="247" t="n"/>
      <c r="C1" s="247" t="n"/>
      <c r="D1" s="247" t="n"/>
      <c r="E1" s="247" t="n"/>
      <c r="F1" s="248" t="n"/>
    </row>
    <row r="2">
      <c r="A2" s="249" t="inlineStr">
        <is>
          <t>Corredor Férreo La Dorada – Chiriguaná | Contrato APP Nº 001 de 2025 | Apéndice Técnico 1 — Tabla 17</t>
        </is>
      </c>
      <c r="B2" s="247" t="n"/>
      <c r="C2" s="247" t="n"/>
      <c r="D2" s="247" t="n"/>
      <c r="E2" s="247" t="n"/>
      <c r="F2" s="248" t="n"/>
    </row>
    <row r="3">
      <c r="A3" s="61" t="n"/>
      <c r="B3" s="61" t="n"/>
      <c r="C3" s="61" t="n"/>
      <c r="D3" s="61" t="n"/>
      <c r="E3" s="61" t="n"/>
      <c r="F3" s="61" t="n"/>
    </row>
    <row r="4">
      <c r="A4" s="250" t="inlineStr">
        <is>
          <t>PRESUPUESTO ESTIMADO — SUJETO A NO-OBJECIÓN DE INTERVENTORÍA</t>
        </is>
      </c>
      <c r="B4" s="247" t="n"/>
      <c r="C4" s="247" t="n"/>
      <c r="D4" s="247" t="n"/>
      <c r="E4" s="247" t="n"/>
      <c r="F4" s="248" t="n"/>
    </row>
    <row r="5" ht="18.75" customFormat="1" customHeight="1" s="3">
      <c r="A5" s="251" t="inlineStr">
        <is>
          <t>Cifras condicionadas a la aprobación de los criterios de diseño (4 reglas Tabla 17 AT1). Fuente: UF2_Control_CAPEX_Ardanuy_Reunión.pptx</t>
        </is>
      </c>
      <c r="B5" s="247" t="n"/>
      <c r="C5" s="247" t="n"/>
      <c r="D5" s="247" t="n"/>
      <c r="E5" s="247" t="n"/>
      <c r="F5" s="248" t="n"/>
    </row>
    <row r="6">
      <c r="A6" s="61" t="n"/>
      <c r="B6" s="61" t="n"/>
      <c r="C6" s="61" t="n"/>
      <c r="D6" s="61" t="n"/>
      <c r="E6" s="61" t="n"/>
      <c r="F6" s="61" t="n"/>
    </row>
    <row r="7">
      <c r="A7" s="175" t="inlineStr">
        <is>
          <t>TRES LÍNEAS DE COSTE — CRITERIO CONTABLE GRUPO ORTIZ (venta + IVA, sin AIU)</t>
        </is>
      </c>
      <c r="B7" s="247" t="n"/>
      <c r="C7" s="247" t="n"/>
      <c r="D7" s="247" t="n"/>
      <c r="E7" s="248" t="n"/>
      <c r="F7" s="175" t="n"/>
    </row>
    <row r="8" ht="16.5" customHeight="1" thickBot="1">
      <c r="A8" s="218" t="inlineStr">
        <is>
          <t>Concepto</t>
        </is>
      </c>
      <c r="B8" s="219" t="inlineStr">
        <is>
          <t>COP (millones)</t>
        </is>
      </c>
      <c r="C8" s="219" t="inlineStr">
        <is>
          <t>USD @ TRM 4.400</t>
        </is>
      </c>
      <c r="D8" s="219" t="inlineStr">
        <is>
          <t>USD @ TRM real 3.637</t>
        </is>
      </c>
      <c r="E8" s="219" t="inlineStr">
        <is>
          <t>Δ vs Oferta</t>
        </is>
      </c>
      <c r="F8" s="220" t="inlineStr">
        <is>
          <t>% vs Oferta</t>
        </is>
      </c>
    </row>
    <row r="9" ht="16.5" customHeight="1" thickTop="1">
      <c r="A9" s="230" t="inlineStr">
        <is>
          <t>Oferta APP 001/2025 (precio venta — sin AIU)</t>
        </is>
      </c>
      <c r="B9" s="231" t="n">
        <v>303952</v>
      </c>
      <c r="C9" s="252" t="n">
        <v>69080000</v>
      </c>
      <c r="D9" s="252" t="n">
        <v>83572724</v>
      </c>
      <c r="E9" s="233" t="inlineStr">
        <is>
          <t>Línea de referencia</t>
        </is>
      </c>
      <c r="F9" s="234" t="inlineStr">
        <is>
          <t>—</t>
        </is>
      </c>
    </row>
    <row r="10">
      <c r="A10" s="241" t="inlineStr">
        <is>
          <t>Presupuesto Grupo Ortiz — LFC v14.7 (CD + IVA, sin AIU)</t>
        </is>
      </c>
      <c r="B10" s="242">
        <f>'1.Total General'!C8/1000000</f>
        <v/>
      </c>
      <c r="C10" s="253">
        <f>'1.Total General'!D8</f>
        <v/>
      </c>
      <c r="D10" s="253">
        <f>'1.Total General'!E8</f>
        <v/>
      </c>
      <c r="E10" s="254">
        <f>C10-C9</f>
        <v/>
      </c>
      <c r="F10" s="255">
        <f>E10/C9</f>
        <v/>
      </c>
    </row>
    <row r="11">
      <c r="A11" s="222" t="inlineStr">
        <is>
          <t>Referencia Ardanuy v1 — CAPEX puro (sin IVA, sin AIU)</t>
        </is>
      </c>
      <c r="B11" s="223" t="n">
        <v>252251</v>
      </c>
      <c r="C11" s="256" t="n">
        <v>57329855</v>
      </c>
      <c r="D11" s="256" t="n">
        <v>69356571</v>
      </c>
      <c r="E11" s="257" t="inlineStr">
        <is>
          <t>No comparable directamente *</t>
        </is>
      </c>
      <c r="F11" s="258" t="inlineStr">
        <is>
          <t>—</t>
        </is>
      </c>
    </row>
    <row r="12">
      <c r="A12" s="221" t="n"/>
      <c r="B12" s="221" t="n"/>
      <c r="C12" s="221" t="n"/>
      <c r="D12" s="221" t="n"/>
      <c r="E12" s="221" t="n"/>
      <c r="F12" s="221" t="n"/>
    </row>
    <row r="13">
      <c r="A13" s="175" t="inlineStr">
        <is>
          <t>VEREDICTO PARA DIRECCIÓN</t>
        </is>
      </c>
      <c r="B13" s="247" t="n"/>
      <c r="C13" s="247" t="n"/>
      <c r="D13" s="247" t="n"/>
      <c r="E13" s="248" t="n"/>
      <c r="F13" s="175" t="n"/>
    </row>
    <row r="14" ht="31.5" customHeight="1">
      <c r="A14" s="259" t="inlineStr">
        <is>
          <t>El presupuesto Grupo Ortiz se sitúa 14,35 M USD por debajo del precio de venta sin AIU. La cifra protagonista para gestión contable es 54,73 M USD (Costo Directo + IVA, sin AIU 33%). La referencia Ardanuy entrega CAPEX puro $57,33 M USD — no comparable directamente, pero el comparativo capítulo a capítulo (Hoja 7) valida el orden de magnitud.</t>
        </is>
      </c>
      <c r="B14" s="247" t="n"/>
      <c r="C14" s="247" t="n"/>
      <c r="D14" s="247" t="n"/>
      <c r="E14" s="247" t="n"/>
      <c r="F14" s="248" t="n"/>
    </row>
    <row r="15">
      <c r="A15" s="61" t="n"/>
      <c r="B15" s="61" t="n"/>
      <c r="C15" s="61" t="n"/>
      <c r="D15" s="61" t="n"/>
      <c r="E15" s="61" t="n"/>
      <c r="F15" s="61" t="n"/>
    </row>
    <row r="16">
      <c r="A16" s="175" t="inlineStr">
        <is>
          <t>ESCENARIOS DE EJECUCIÓN — COSTE OPERACIONAL (criterio contable Grupo Ortiz, sin AIU)</t>
        </is>
      </c>
      <c r="B16" s="247" t="n"/>
      <c r="C16" s="247" t="n"/>
      <c r="D16" s="247" t="n"/>
      <c r="E16" s="248" t="n"/>
      <c r="F16" s="175" t="n"/>
    </row>
    <row r="17">
      <c r="A17" s="177" t="inlineStr">
        <is>
          <t>Escenario</t>
        </is>
      </c>
      <c r="B17" s="178" t="inlineStr">
        <is>
          <t>USD</t>
        </is>
      </c>
      <c r="C17" s="178" t="inlineStr">
        <is>
          <t>Margen vs Oferta</t>
        </is>
      </c>
      <c r="D17" s="177" t="inlineStr">
        <is>
          <t>Condición de cierre</t>
        </is>
      </c>
    </row>
    <row r="18">
      <c r="A18" s="101" t="inlineStr">
        <is>
          <t>Caso optimista</t>
        </is>
      </c>
      <c r="B18" s="103" t="inlineStr">
        <is>
          <t>~50 M</t>
        </is>
      </c>
      <c r="C18" s="106" t="inlineStr">
        <is>
          <t>+28%</t>
        </is>
      </c>
      <c r="D18" s="101" t="inlineStr">
        <is>
          <t>Las 4 reglas de Tabla 17 aprobadas</t>
        </is>
      </c>
    </row>
    <row r="19">
      <c r="A19" s="238" t="inlineStr">
        <is>
          <t>Caso esperado (línea base actual)</t>
        </is>
      </c>
      <c r="B19" s="239" t="inlineStr">
        <is>
          <t>54,73 M</t>
        </is>
      </c>
      <c r="C19" s="240" t="inlineStr">
        <is>
          <t>+21%</t>
        </is>
      </c>
      <c r="D19" s="238" t="inlineStr">
        <is>
          <t>Línea base SICC v14.7 aplicada</t>
        </is>
      </c>
    </row>
    <row r="20">
      <c r="A20" s="101" t="inlineStr">
        <is>
          <t>Caso pesimista</t>
        </is>
      </c>
      <c r="B20" s="103" t="inlineStr">
        <is>
          <t>75 - 100 M</t>
        </is>
      </c>
      <c r="C20" s="105" t="inlineStr">
        <is>
          <t>−45% a −9%</t>
        </is>
      </c>
      <c r="D20" s="101" t="inlineStr">
        <is>
          <t>Sin alineación con las 4 reglas</t>
        </is>
      </c>
    </row>
    <row r="21">
      <c r="A21" s="229" t="inlineStr">
        <is>
          <t>Exposición cambiaria del caso esperado: a TRM real 3.637 el coste asciende a 66,22 M USD / margen +4% (variación de +21 puntos porcentuales por TRM).</t>
        </is>
      </c>
      <c r="B21" s="260" t="n"/>
      <c r="C21" s="260" t="n"/>
      <c r="D21" s="260" t="n"/>
      <c r="E21" s="5" t="n"/>
      <c r="F21" s="5" t="n"/>
    </row>
    <row r="22">
      <c r="A22" s="176" t="inlineStr">
        <is>
          <t>LAS 4 REGLAS DE TABLA 17 AT1 — IMPACTO FINANCIERO</t>
        </is>
      </c>
      <c r="F22" s="176" t="n"/>
    </row>
    <row r="23">
      <c r="A23" s="178" t="inlineStr">
        <is>
          <t>Nº</t>
        </is>
      </c>
      <c r="B23" s="178" t="inlineStr">
        <is>
          <t>Regla</t>
        </is>
      </c>
      <c r="C23" s="248" t="n"/>
      <c r="D23" s="177" t="inlineStr">
        <is>
          <t>Impacto financiero</t>
        </is>
      </c>
      <c r="E23" s="177" t="n"/>
      <c r="F23" s="99" t="n"/>
    </row>
    <row r="24" ht="38.1" customHeight="1">
      <c r="A24" s="178" t="n">
        <v>1</v>
      </c>
      <c r="B24" s="171" t="inlineStr">
        <is>
          <t>Stop &amp; Switch FENOCO (interfaz operativa, sin pasarela ITCS)</t>
        </is>
      </c>
      <c r="C24" s="248" t="n"/>
      <c r="D24" s="100" t="inlineStr">
        <is>
          <t>Blindaje legal — evita escalada de alcance</t>
        </is>
      </c>
      <c r="E24" s="100" t="n"/>
      <c r="F24" s="101" t="n"/>
    </row>
    <row r="25" ht="29.25" customHeight="1">
      <c r="A25" s="178" t="n">
        <v>2</v>
      </c>
      <c r="B25" s="171" t="inlineStr">
        <is>
          <t>Únicamente 5 ENCEs (Tabla 17 AT1)</t>
        </is>
      </c>
      <c r="C25" s="248" t="n"/>
      <c r="D25" s="100" t="inlineStr">
        <is>
          <t>Cada ENCE adicional: +0,8 M USD</t>
        </is>
      </c>
      <c r="E25" s="100" t="n"/>
      <c r="F25" s="101" t="n"/>
    </row>
    <row r="26" ht="29.25" customHeight="1">
      <c r="A26" s="178" t="n">
        <v>3</v>
      </c>
      <c r="B26" s="171" t="inlineStr">
        <is>
          <t>PTC 100% virtual (sin hardware lateral en vía)</t>
        </is>
      </c>
      <c r="C26" s="248" t="n"/>
      <c r="D26" s="100" t="inlineStr">
        <is>
          <t>Ahorro: -15 M USD</t>
        </is>
      </c>
      <c r="E26" s="100" t="n"/>
      <c r="F26" s="101" t="n"/>
    </row>
    <row r="27" ht="29.25" customHeight="1">
      <c r="A27" s="178" t="n">
        <v>4</v>
      </c>
      <c r="B27" s="171" t="inlineStr">
        <is>
          <t>Redimensionamiento eléctrico y de fibra óptica</t>
        </is>
      </c>
      <c r="C27" s="248" t="n"/>
      <c r="D27" s="100" t="inlineStr">
        <is>
          <t>Ahorro: -5 a -10 M USD</t>
        </is>
      </c>
      <c r="E27" s="100" t="n"/>
      <c r="F27" s="101" t="n"/>
    </row>
    <row r="28">
      <c r="A28" s="177" t="inlineStr">
        <is>
          <t>Ahorro objetivo total aplicando las 4 reglas:</t>
        </is>
      </c>
      <c r="B28" s="248" t="n"/>
      <c r="C28" s="2" t="n"/>
      <c r="D28" s="104" t="inlineStr">
        <is>
          <t>-20 a -25 M USD</t>
        </is>
      </c>
      <c r="E28" s="104" t="n"/>
      <c r="F28" s="177" t="n"/>
    </row>
    <row r="29">
      <c r="A29" s="102" t="n"/>
      <c r="B29" s="102" t="n"/>
      <c r="C29" s="102" t="n"/>
      <c r="D29" s="102" t="n"/>
      <c r="E29" s="102" t="n"/>
      <c r="F29" s="102" t="n"/>
    </row>
    <row r="30">
      <c r="A30" s="174" t="inlineStr">
        <is>
          <t>NOTAS</t>
        </is>
      </c>
      <c r="B30" s="260" t="n"/>
      <c r="C30" s="260" t="n"/>
      <c r="D30" s="260" t="n"/>
      <c r="E30" s="260" t="n"/>
      <c r="F30" s="261" t="n"/>
    </row>
    <row r="31">
      <c r="A31" s="172" t="inlineStr">
        <is>
          <t>(1) TRM Risk 4.400 = techo de cobertura cambiaria. TRM real aproximada 3.637 a 5/5/2026.</t>
        </is>
      </c>
    </row>
    <row r="32">
      <c r="A32" s="172" t="inlineStr">
        <is>
          <t>(2) Criterio contable Grupo Ortiz: el AIU 33% sobre Obra Civil ($19.186 M COP / $4,36 M USD) NO se considera coste — se imputa a otro rubro. La cifra de coste operacional es Costo Directo + IVA = $240.823.503.150 COP.</t>
        </is>
      </c>
    </row>
    <row r="33">
      <c r="A33" s="244" t="inlineStr">
        <is>
          <t>(3) Oferta sin AIU calculada: $324.107 M COP (oferta total) − $19.591 M (AIU Obra Civil) − $564 M (IVA sobre Utilidad) = $303.952 M COP. Fuente: fichero Costo_proyecto.xlsx de la esctructuracion para banca</t>
        </is>
      </c>
    </row>
    <row r="34">
      <c r="A34" s="245" t="inlineStr">
        <is>
          <t>(4) Línea base Grupo Ortiz: este fichero, hoja «1.Total General», celda C8 (R8 nueva, destacada). Trazabilidad: 133 ítems en hoja «3.Detalle Ítems».</t>
        </is>
      </c>
    </row>
    <row r="35" ht="32.25" customHeight="1">
      <c r="A35" s="173" t="inlineStr">
        <is>
          <t>(5) Referencia Ardanuy: el consultor entregó CAPEX puro ($252.251 M COP / $57,33 M USD a TRM 4.400) sin IVA ni AIU explícito. No es comparable directamente con la cifra Grupo Ortiz (Costo Directo + IVA, sin AIU) porque Ardanuy no incluye IVA. Para validación cruzada capítulo a capítulo véase Hoja 7 «Análisis Comparativo Ardanuy v1 vs LFC v14.7».</t>
        </is>
      </c>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row>
    <row r="41">
      <c r="A41" s="1" t="n"/>
      <c r="B41" s="1" t="n"/>
      <c r="C41" s="1" t="n"/>
      <c r="D41" s="1" t="n"/>
      <c r="E41" s="1" t="n"/>
    </row>
    <row r="42">
      <c r="A42" s="1" t="n"/>
      <c r="B42" s="1" t="n"/>
      <c r="C42" s="1" t="n"/>
      <c r="D42" s="1" t="n"/>
      <c r="E42" s="1" t="n"/>
    </row>
    <row r="43">
      <c r="A43" s="1" t="n"/>
      <c r="B43" s="1" t="n"/>
      <c r="C43" s="1" t="n"/>
      <c r="D43" s="1" t="n"/>
      <c r="E43" s="1" t="n"/>
    </row>
    <row r="44">
      <c r="A44" s="1" t="n"/>
      <c r="B44" s="1" t="n"/>
      <c r="C44" s="1" t="n"/>
      <c r="D44" s="1" t="n"/>
      <c r="E44" s="1"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sheetData>
  <mergeCells count="22">
    <mergeCell ref="B25:C25"/>
    <mergeCell ref="B27:C27"/>
    <mergeCell ref="A2:F2"/>
    <mergeCell ref="A33:F33"/>
    <mergeCell ref="A16:E16"/>
    <mergeCell ref="A14:F14"/>
    <mergeCell ref="A7:E7"/>
    <mergeCell ref="A5:F5"/>
    <mergeCell ref="A32:F32"/>
    <mergeCell ref="B23:C23"/>
    <mergeCell ref="A35:F35"/>
    <mergeCell ref="A4:F4"/>
    <mergeCell ref="A31:F31"/>
    <mergeCell ref="A34:F34"/>
    <mergeCell ref="A30:F30"/>
    <mergeCell ref="A22:E22"/>
    <mergeCell ref="B24:C24"/>
    <mergeCell ref="A1:F1"/>
    <mergeCell ref="A21:D21"/>
    <mergeCell ref="A28:B28"/>
    <mergeCell ref="A13:E13"/>
    <mergeCell ref="B26:C26"/>
  </mergeCells>
  <pageMargins left="0.5902777777777778" right="0.5902777777777778" top="0.5902777777777778" bottom="0.5902777777777778" header="0.3" footer="0.3"/>
  <pageSetup orientation="landscape" paperSize="9"/>
</worksheet>
</file>

<file path=xl/worksheets/sheet2.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C8" sqref="C8"/>
    </sheetView>
  </sheetViews>
  <sheetFormatPr baseColWidth="10" defaultRowHeight="15.75"/>
  <cols>
    <col width="72.375" bestFit="1" customWidth="1" min="1" max="1"/>
    <col width="3.375" customWidth="1" min="2" max="2"/>
    <col width="19.75" bestFit="1" customWidth="1" min="3" max="3"/>
    <col width="15.125" bestFit="1" customWidth="1" min="4" max="4"/>
    <col width="23.875" customWidth="1" min="5" max="5"/>
    <col width="19.75" bestFit="1" customWidth="1" min="7" max="7"/>
  </cols>
  <sheetData>
    <row r="1" ht="32.1" customHeight="1">
      <c r="A1" s="195" t="inlineStr">
        <is>
          <t>PRESUPUESTO SCC — APP LA DORADA-CHIRIGUANÁ (UF2) - LINEA BASE MAS PROBABLE</t>
        </is>
      </c>
      <c r="B1" s="247" t="n"/>
      <c r="C1" s="247" t="n"/>
      <c r="D1" s="247" t="n"/>
      <c r="E1" s="248" t="n"/>
    </row>
    <row r="2">
      <c r="A2" s="167" t="inlineStr">
        <is>
          <t>Contrato APP No. 001 de 2025  |  SICC v14.7 BCD-aligned  |  Generado: 5/5/2026, 10:08:25 a. m.</t>
        </is>
      </c>
      <c r="B2" s="247" t="n"/>
      <c r="C2" s="247" t="n"/>
      <c r="D2" s="247" t="n"/>
      <c r="E2" s="248" t="n"/>
    </row>
    <row r="3">
      <c r="A3" s="61" t="n"/>
      <c r="B3" s="61" t="n"/>
      <c r="C3" s="61" t="n"/>
      <c r="D3" s="61" t="n"/>
      <c r="E3" s="95" t="inlineStr">
        <is>
          <t>USD @ TRM real 3,637</t>
        </is>
      </c>
    </row>
    <row r="4" ht="24" customHeight="1">
      <c r="A4" s="175" t="inlineStr">
        <is>
          <t>TOTAL GENERAL PROYECTO</t>
        </is>
      </c>
      <c r="B4" s="247" t="n"/>
      <c r="C4" s="247" t="n"/>
      <c r="D4" s="247" t="n"/>
      <c r="E4" s="248" t="n"/>
    </row>
    <row r="5">
      <c r="A5" s="83" t="inlineStr">
        <is>
          <t>Costo Directo</t>
        </is>
      </c>
      <c r="B5" s="61" t="inlineStr"/>
      <c r="C5" s="262" t="n">
        <v>211191318560</v>
      </c>
      <c r="D5" s="262" t="n">
        <v>47998027</v>
      </c>
      <c r="E5" s="263">
        <f>C5/3637</f>
        <v/>
      </c>
    </row>
    <row r="6">
      <c r="A6" s="196" t="inlineStr">
        <is>
          <t>AIU 33% sobre Obra Civil</t>
        </is>
      </c>
      <c r="B6" s="87" t="inlineStr"/>
      <c r="C6" s="264" t="n">
        <v>19186009747</v>
      </c>
      <c r="D6" s="264" t="n">
        <v>4360457</v>
      </c>
      <c r="E6" s="263">
        <f>C6/3637</f>
        <v/>
      </c>
    </row>
    <row r="7" ht="16.5" customHeight="1" thickBot="1">
      <c r="A7" s="208" t="inlineStr">
        <is>
          <t>IVA Total</t>
        </is>
      </c>
      <c r="B7" s="13" t="inlineStr"/>
      <c r="C7" s="265" t="n">
        <v>29632184590</v>
      </c>
      <c r="D7" s="265" t="n">
        <v>6734587</v>
      </c>
      <c r="E7" s="266">
        <f>C7/3637</f>
        <v/>
      </c>
    </row>
    <row r="8" ht="16.5" customHeight="1" thickTop="1">
      <c r="A8" s="210" t="inlineStr">
        <is>
          <t>Costo Directo + IVA (sin AIU) — coste contable Grupo Ortiz</t>
        </is>
      </c>
      <c r="B8" s="211" t="n"/>
      <c r="C8" s="267">
        <f>C5+C7</f>
        <v/>
      </c>
      <c r="D8" s="267">
        <f>C8/4400</f>
        <v/>
      </c>
      <c r="E8" s="268">
        <f>C8/3637</f>
        <v/>
      </c>
    </row>
    <row r="9">
      <c r="A9" s="209" t="inlineStr">
        <is>
          <t>TOTAL PROYECTO</t>
        </is>
      </c>
      <c r="B9" s="209" t="inlineStr"/>
      <c r="C9" s="269" t="n">
        <v>260009512897</v>
      </c>
      <c r="D9" s="269" t="n">
        <v>59093071</v>
      </c>
      <c r="E9" s="270">
        <f>C9/3637</f>
        <v/>
      </c>
    </row>
    <row r="10">
      <c r="A10" s="61" t="n"/>
      <c r="B10" s="61" t="n"/>
      <c r="C10" s="61" t="n"/>
      <c r="D10" s="61" t="n"/>
      <c r="E10" s="61" t="n"/>
    </row>
    <row r="11" ht="24" customHeight="1">
      <c r="A11" s="175" t="inlineStr">
        <is>
          <t>DESGLOSE POR COMPONENTE</t>
        </is>
      </c>
      <c r="B11" s="247" t="n"/>
      <c r="C11" s="247" t="n"/>
      <c r="D11" s="247" t="n"/>
      <c r="E11" s="248" t="n"/>
    </row>
    <row r="12">
      <c r="A12" s="83" t="inlineStr">
        <is>
          <t>Total Suministros</t>
        </is>
      </c>
      <c r="B12" s="61" t="inlineStr"/>
      <c r="C12" s="262" t="n">
        <v>148755895087</v>
      </c>
      <c r="D12" s="262" t="n">
        <v>33808158</v>
      </c>
      <c r="E12" s="263">
        <f>C12/3637</f>
        <v/>
      </c>
    </row>
    <row r="13">
      <c r="A13" s="196" t="inlineStr">
        <is>
          <t>Total Obra Civil</t>
        </is>
      </c>
      <c r="B13" s="87" t="inlineStr"/>
      <c r="C13" s="264" t="n">
        <v>58139423473</v>
      </c>
      <c r="D13" s="264" t="n">
        <v>13213505</v>
      </c>
      <c r="E13" s="271">
        <f>C13/3637</f>
        <v/>
      </c>
    </row>
    <row r="14">
      <c r="A14" s="83" t="inlineStr">
        <is>
          <t>Total Servicios</t>
        </is>
      </c>
      <c r="B14" s="61" t="inlineStr"/>
      <c r="C14" s="262" t="n">
        <v>4296000000</v>
      </c>
      <c r="D14" s="262" t="n">
        <v>976364</v>
      </c>
      <c r="E14" s="263">
        <f>C14/3637</f>
        <v/>
      </c>
    </row>
    <row r="15" ht="24" customHeight="1">
      <c r="A15" s="191" t="n"/>
      <c r="B15" s="247" t="n"/>
      <c r="C15" s="247" t="n"/>
      <c r="D15" s="247" t="n"/>
      <c r="E15" s="248" t="n"/>
    </row>
    <row r="16">
      <c r="A16" s="196" t="inlineStr">
        <is>
          <t>CONVERSIÓN MONETARIA</t>
        </is>
      </c>
      <c r="B16" s="247" t="n"/>
      <c r="C16" s="247" t="n"/>
      <c r="D16" s="247" t="n"/>
      <c r="E16" s="248" t="n"/>
    </row>
    <row r="17">
      <c r="A17" s="83" t="inlineStr">
        <is>
          <t>TRM Risk (COP/USD)</t>
        </is>
      </c>
      <c r="B17" s="61" t="inlineStr"/>
      <c r="C17" s="90" t="n">
        <v>4400</v>
      </c>
      <c r="D17" s="91" t="n"/>
      <c r="E17" s="91" t="n"/>
    </row>
    <row r="18">
      <c r="A18" s="196" t="inlineStr">
        <is>
          <t>EUR/USD (paridad ECB)</t>
        </is>
      </c>
      <c r="B18" s="87" t="inlineStr"/>
      <c r="C18" s="92" t="n">
        <v>1.09</v>
      </c>
      <c r="D18" s="93" t="n"/>
      <c r="E18" s="93" t="n"/>
    </row>
    <row r="19" ht="24" customHeight="1">
      <c r="A19" s="196" t="inlineStr">
        <is>
          <t>EUR/COP cruzada</t>
        </is>
      </c>
      <c r="B19" s="196" t="n"/>
      <c r="C19" s="94">
        <f>C17*C18</f>
        <v/>
      </c>
      <c r="D19" s="196" t="n"/>
      <c r="E19" s="196" t="n"/>
    </row>
    <row r="20">
      <c r="A20" s="192" t="n"/>
      <c r="B20" s="247" t="n"/>
      <c r="C20" s="247" t="n"/>
      <c r="D20" s="247" t="n"/>
      <c r="E20" s="248" t="n"/>
    </row>
    <row r="21">
      <c r="A21" s="197" t="inlineStr">
        <is>
          <t>NOTAS</t>
        </is>
      </c>
      <c r="B21" s="247" t="n"/>
      <c r="C21" s="247" t="n"/>
      <c r="D21" s="247" t="n"/>
      <c r="E21" s="248" t="n"/>
    </row>
    <row r="22">
      <c r="A22" s="167" t="inlineStr">
        <is>
          <t>(1) TRM Risk = techo de cobertura cambiaria. TRM real ~3,637 al 2026-05-05. Margen ~+21%.</t>
        </is>
      </c>
      <c r="B22" s="247" t="n"/>
      <c r="C22" s="247" t="n"/>
      <c r="D22" s="247" t="n"/>
      <c r="E22" s="248" t="n"/>
    </row>
    <row r="23">
      <c r="A23" s="167" t="inlineStr">
        <is>
          <t>(2) AIU = Adm 23% + Imprevistos 5% + Utilidad 5% sobre Obra Civil.</t>
        </is>
      </c>
      <c r="B23" s="247" t="n"/>
      <c r="C23" s="247" t="n"/>
      <c r="D23" s="247" t="n"/>
      <c r="E23" s="248" t="n"/>
    </row>
    <row r="24">
      <c r="A24" s="167" t="inlineStr">
        <is>
          <t>(3) IVA = 19% Suministros + 19% Servicios + 19% sobre 5% Utilidad de Obra.</t>
        </is>
      </c>
      <c r="B24" s="247" t="n"/>
      <c r="C24" s="247" t="n"/>
      <c r="D24" s="247" t="n"/>
      <c r="E24" s="248" t="n"/>
    </row>
    <row r="25">
      <c r="A25" s="167" t="inlineStr">
        <is>
          <t>(4) Línea base alineada a BCD v001 SCC (Ardanuy, abril 2026) y DT-COMS-2026-007 (precios ADIF).</t>
        </is>
      </c>
      <c r="B25" s="167" t="n"/>
      <c r="C25" s="167" t="n"/>
      <c r="D25" s="167" t="n"/>
      <c r="E25" s="167" t="n"/>
    </row>
    <row r="26">
      <c r="A26" s="61" t="n"/>
      <c r="B26" s="61" t="n"/>
      <c r="C26" s="61" t="n"/>
      <c r="D26" s="61" t="n"/>
      <c r="E26" s="61" t="n"/>
    </row>
    <row r="27" ht="24" customHeight="1">
      <c r="A27" s="193" t="inlineStr">
        <is>
          <t>EXPOSICIÓN CAMBIARIA</t>
        </is>
      </c>
      <c r="B27" s="247" t="n"/>
      <c r="C27" s="247" t="n"/>
      <c r="D27" s="247" t="n"/>
      <c r="E27" s="248" t="n"/>
    </row>
    <row r="28">
      <c r="A28" s="194" t="inlineStr">
        <is>
          <t>TRM Risk 4,400 incorpora margen ~+21% vs TRM real 3,637. La columna USD@3,637 muestra el equivalente sin colchón.</t>
        </is>
      </c>
      <c r="B28" s="247" t="n"/>
      <c r="C28" s="247" t="n"/>
      <c r="D28" s="247" t="n"/>
      <c r="E28" s="248" t="n"/>
    </row>
    <row r="29">
      <c r="A29" s="194" t="inlineStr">
        <is>
          <t>Comparativo Ardanuy CAPEX: $66.4M USD @ TRM ~3,800 (consultor de diseño).</t>
        </is>
      </c>
      <c r="B29" s="247" t="n"/>
      <c r="C29" s="247" t="n"/>
      <c r="D29" s="247" t="n"/>
      <c r="E29" s="248" t="n"/>
    </row>
    <row r="30">
      <c r="A30" s="200" t="inlineStr">
        <is>
          <t>(5) El AIU 33% sobre Obra Civil ($19.186 M COP / $4,36 M USD) se contabiliza como rubro separado en el sistema contable de Grupo Ortiz. La cifra de coste para gestión gerencial es Costo Directo + IVA = $240.823.503.150 COP (R8 destacada en amarillo).</t>
        </is>
      </c>
    </row>
  </sheetData>
  <mergeCells count="14">
    <mergeCell ref="A21:E21"/>
    <mergeCell ref="A29:E29"/>
    <mergeCell ref="A4:E4"/>
    <mergeCell ref="A20:E20"/>
    <mergeCell ref="A24:E24"/>
    <mergeCell ref="A2:E2"/>
    <mergeCell ref="A16:E16"/>
    <mergeCell ref="A15:E15"/>
    <mergeCell ref="A28:E28"/>
    <mergeCell ref="A11:E11"/>
    <mergeCell ref="A1:E1"/>
    <mergeCell ref="A23:E23"/>
    <mergeCell ref="A22:E22"/>
    <mergeCell ref="A27:E27"/>
  </mergeCells>
  <pageMargins left="0.5" right="0.5" top="0.5" bottom="0.5" header="0.25" footer="0.25"/>
  <pageSetup orientation="landscape" paperSize="9"/>
</worksheet>
</file>

<file path=xl/worksheets/sheet3.xml><?xml version="1.0" encoding="utf-8"?>
<worksheet xmlns="http://schemas.openxmlformats.org/spreadsheetml/2006/main">
  <sheetPr>
    <outlinePr summaryBelow="1" summaryRight="1"/>
    <pageSetUpPr/>
  </sheetPr>
  <dimension ref="A1:J8"/>
  <sheetViews>
    <sheetView topLeftCell="C1" workbookViewId="0">
      <pane ySplit="1" topLeftCell="A2" activePane="bottomLeft" state="frozen"/>
      <selection activeCell="C1" sqref="C1"/>
      <selection pane="bottomLeft" activeCell="I1" sqref="I1:I1048576"/>
    </sheetView>
  </sheetViews>
  <sheetFormatPr baseColWidth="10" defaultRowHeight="15.75"/>
  <cols>
    <col width="10.25" customWidth="1" min="1" max="1"/>
    <col width="38.375" bestFit="1" customWidth="1" min="2" max="2"/>
    <col width="19.75" bestFit="1" customWidth="1" min="3" max="3"/>
    <col width="18.75" bestFit="1" customWidth="1" min="4" max="4"/>
    <col width="17.75" bestFit="1" customWidth="1" min="5" max="5"/>
    <col width="23.625" customWidth="1" min="6" max="6"/>
    <col width="18.75" bestFit="1" customWidth="1" min="7" max="8"/>
    <col width="19.75" bestFit="1" customWidth="1" min="9" max="9"/>
    <col width="17.25" bestFit="1" customWidth="1" min="10" max="10"/>
  </cols>
  <sheetData>
    <row r="1" ht="27.95" customHeight="1">
      <c r="A1" s="48" t="inlineStr">
        <is>
          <t>CAPÍTULO</t>
        </is>
      </c>
      <c r="B1" s="49" t="inlineStr">
        <is>
          <t>NOMBRE</t>
        </is>
      </c>
      <c r="C1" s="49" t="inlineStr">
        <is>
          <t>SUMINISTROS</t>
        </is>
      </c>
      <c r="D1" s="49" t="inlineStr">
        <is>
          <t>OBRA CIVIL</t>
        </is>
      </c>
      <c r="E1" s="49" t="inlineStr">
        <is>
          <t>SERVICIOS</t>
        </is>
      </c>
      <c r="F1" s="49" t="inlineStr">
        <is>
          <t>COSTO DIRECTO</t>
        </is>
      </c>
      <c r="G1" s="49" t="inlineStr">
        <is>
          <t>AIU 33% OBRA</t>
        </is>
      </c>
      <c r="H1" s="49" t="inlineStr">
        <is>
          <t>IVA</t>
        </is>
      </c>
      <c r="I1" s="49" t="inlineStr">
        <is>
          <t>TOTAL CAP (COP)</t>
        </is>
      </c>
      <c r="J1" s="50" t="inlineStr">
        <is>
          <t>TOTAL CAP (USD)</t>
        </is>
      </c>
    </row>
    <row r="2">
      <c r="A2" s="40" t="n">
        <v>1</v>
      </c>
      <c r="B2" s="42" t="inlineStr">
        <is>
          <t>CONTROL Y SENALIZACIÓN VIRTUAL</t>
        </is>
      </c>
      <c r="C2" s="272" t="n">
        <v>70398425000</v>
      </c>
      <c r="D2" s="272" t="n">
        <v>0</v>
      </c>
      <c r="E2" s="273" t="n">
        <v>0</v>
      </c>
      <c r="F2" s="272" t="n">
        <v>70398425000</v>
      </c>
      <c r="G2" s="273" t="n">
        <v>0</v>
      </c>
      <c r="H2" s="272" t="n">
        <v>13375700750</v>
      </c>
      <c r="I2" s="272" t="n">
        <v>83774125750</v>
      </c>
      <c r="J2" s="274" t="n">
        <v>19039574</v>
      </c>
    </row>
    <row r="3">
      <c r="A3" s="40" t="n">
        <v>2</v>
      </c>
      <c r="B3" s="42" t="inlineStr">
        <is>
          <t>TELECOMUNICACIONES COLOCALIZADAS</t>
        </is>
      </c>
      <c r="C3" s="272" t="n">
        <v>29343670087</v>
      </c>
      <c r="D3" s="272" t="n">
        <v>58139423473</v>
      </c>
      <c r="E3" s="273" t="n">
        <v>630000000</v>
      </c>
      <c r="F3" s="272" t="n">
        <v>88113093560</v>
      </c>
      <c r="G3" s="273" t="n">
        <v>19186009747</v>
      </c>
      <c r="H3" s="272" t="n">
        <v>6247321840</v>
      </c>
      <c r="I3" s="272" t="n">
        <v>113546425147</v>
      </c>
      <c r="J3" s="274" t="n">
        <v>25806006</v>
      </c>
    </row>
    <row r="4">
      <c r="A4" s="40" t="n">
        <v>3</v>
      </c>
      <c r="B4" s="42" t="inlineStr">
        <is>
          <t>SISTEMAS ITS Y SEGURIDAD</t>
        </is>
      </c>
      <c r="C4" s="272" t="n">
        <v>5136300000</v>
      </c>
      <c r="D4" s="272" t="n">
        <v>0</v>
      </c>
      <c r="E4" s="273" t="n">
        <v>246000000</v>
      </c>
      <c r="F4" s="272" t="n">
        <v>5382300000</v>
      </c>
      <c r="G4" s="273" t="n">
        <v>0</v>
      </c>
      <c r="H4" s="272" t="n">
        <v>1022637000</v>
      </c>
      <c r="I4" s="272" t="n">
        <v>6404937000</v>
      </c>
      <c r="J4" s="274" t="n">
        <v>1455668</v>
      </c>
    </row>
    <row r="5">
      <c r="A5" s="40" t="n">
        <v>4</v>
      </c>
      <c r="B5" s="42" t="inlineStr">
        <is>
          <t>PASOS A NIVEL</t>
        </is>
      </c>
      <c r="C5" s="272" t="n">
        <v>16438000000</v>
      </c>
      <c r="D5" s="272" t="n">
        <v>0</v>
      </c>
      <c r="E5" s="273" t="n">
        <v>1800000000</v>
      </c>
      <c r="F5" s="272" t="n">
        <v>18238000000</v>
      </c>
      <c r="G5" s="273" t="n">
        <v>0</v>
      </c>
      <c r="H5" s="272" t="n">
        <v>3465220000</v>
      </c>
      <c r="I5" s="272" t="n">
        <v>21703220000</v>
      </c>
      <c r="J5" s="274" t="n">
        <v>4932550</v>
      </c>
    </row>
    <row r="6">
      <c r="A6" s="40" t="n">
        <v>5</v>
      </c>
      <c r="B6" s="42" t="inlineStr">
        <is>
          <t>CENTRO DE CONTROL OPERACIONAL</t>
        </is>
      </c>
      <c r="C6" s="272" t="n">
        <v>16312000000</v>
      </c>
      <c r="D6" s="272" t="n">
        <v>0</v>
      </c>
      <c r="E6" s="273" t="n">
        <v>100000000</v>
      </c>
      <c r="F6" s="272" t="n">
        <v>16412000000</v>
      </c>
      <c r="G6" s="273" t="n">
        <v>0</v>
      </c>
      <c r="H6" s="272" t="n">
        <v>3118280000</v>
      </c>
      <c r="I6" s="272" t="n">
        <v>19530280000</v>
      </c>
      <c r="J6" s="274" t="n">
        <v>4438700</v>
      </c>
    </row>
    <row r="7">
      <c r="A7" s="40" t="n">
        <v>6</v>
      </c>
      <c r="B7" s="42" t="inlineStr">
        <is>
          <t>MATERIAL RODANTE</t>
        </is>
      </c>
      <c r="C7" s="272" t="n">
        <v>11127500000</v>
      </c>
      <c r="D7" s="272" t="n">
        <v>0</v>
      </c>
      <c r="E7" s="273" t="n">
        <v>1520000000</v>
      </c>
      <c r="F7" s="272" t="n">
        <v>12647500000</v>
      </c>
      <c r="G7" s="273" t="n">
        <v>0</v>
      </c>
      <c r="H7" s="272" t="n">
        <v>2403025000</v>
      </c>
      <c r="I7" s="272" t="n">
        <v>15050525000</v>
      </c>
      <c r="J7" s="274" t="n">
        <v>3420574</v>
      </c>
    </row>
    <row r="8">
      <c r="A8" s="53" t="inlineStr">
        <is>
          <t>TOTAL</t>
        </is>
      </c>
      <c r="B8" s="54" t="inlineStr">
        <is>
          <t>PROYECTO COMPLETO</t>
        </is>
      </c>
      <c r="C8" s="275" t="n">
        <v>148755895087</v>
      </c>
      <c r="D8" s="275" t="n">
        <v>58139423473</v>
      </c>
      <c r="E8" s="276" t="n">
        <v>4296000000</v>
      </c>
      <c r="F8" s="275" t="n">
        <v>211191318560</v>
      </c>
      <c r="G8" s="276" t="n">
        <v>19186009747</v>
      </c>
      <c r="H8" s="275" t="n">
        <v>29632184590</v>
      </c>
      <c r="I8" s="275" t="n">
        <v>260009512897</v>
      </c>
      <c r="J8" s="277" t="n">
        <v>59093071</v>
      </c>
    </row>
  </sheetData>
  <pageMargins left="0.5" right="0.5" top="0.5" bottom="0.5" header="0.25" footer="0.25"/>
  <pageSetup orientation="landscape"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55"/>
  <sheetViews>
    <sheetView topLeftCell="B1" workbookViewId="0">
      <pane ySplit="2" topLeftCell="A14" activePane="bottomLeft" state="frozen"/>
      <selection activeCell="B1" sqref="B1"/>
      <selection pane="bottomLeft" activeCell="E35" sqref="E35:E39"/>
    </sheetView>
  </sheetViews>
  <sheetFormatPr baseColWidth="10" defaultRowHeight="15.75"/>
  <cols>
    <col width="35.875" bestFit="1" customWidth="1" style="113" min="1" max="1"/>
    <col width="8.5" customWidth="1" min="2" max="2"/>
    <col width="6.875" bestFit="1" customWidth="1" min="3" max="3"/>
    <col width="33" customWidth="1" min="4" max="4"/>
    <col width="12" bestFit="1" customWidth="1" min="5" max="5"/>
    <col width="8" bestFit="1" customWidth="1" min="6" max="6"/>
    <col width="13" customWidth="1" min="7" max="7"/>
    <col width="21.5" customWidth="1" min="8" max="8"/>
    <col width="19.75" bestFit="1" customWidth="1" min="9" max="9"/>
    <col width="19.75" customWidth="1" min="10" max="10"/>
    <col width="4.875" customWidth="1" min="11" max="11"/>
    <col width="8.375" customWidth="1" min="12" max="12"/>
    <col width="5.375" bestFit="1" customWidth="1" min="13" max="13"/>
  </cols>
  <sheetData>
    <row r="1" ht="24" customHeight="1" thickBot="1">
      <c r="A1" s="110" t="inlineStr">
        <is>
          <t>Capítulo</t>
        </is>
      </c>
      <c r="B1" s="19" t="inlineStr">
        <is>
          <t>SUB CAP</t>
        </is>
      </c>
      <c r="C1" s="19" t="inlineStr">
        <is>
          <t>ÍTEM</t>
        </is>
      </c>
      <c r="D1" s="23" t="inlineStr">
        <is>
          <t>DESCRIPCIÓN</t>
        </is>
      </c>
      <c r="E1" s="19" t="inlineStr">
        <is>
          <t>TIPO</t>
        </is>
      </c>
      <c r="F1" s="19" t="inlineStr">
        <is>
          <t>UNIDAD</t>
        </is>
      </c>
      <c r="G1" s="19" t="inlineStr">
        <is>
          <t>CANTIDAD</t>
        </is>
      </c>
      <c r="H1" s="19" t="inlineStr">
        <is>
          <t>VU (COP)</t>
        </is>
      </c>
      <c r="I1" s="19" t="inlineStr">
        <is>
          <t>TOTAL (COP)</t>
        </is>
      </c>
      <c r="J1" s="19" t="inlineStr">
        <is>
          <t>TOTAL (USD)</t>
        </is>
      </c>
      <c r="K1" s="5" t="n"/>
      <c r="L1" s="14" t="inlineStr">
        <is>
          <t>TMR</t>
        </is>
      </c>
      <c r="M1" s="15" t="n">
        <v>4400</v>
      </c>
    </row>
    <row r="2">
      <c r="A2" s="111" t="inlineStr">
        <is>
          <t>1. CONTROL Y SENALIZACIÓN VIRTUAL</t>
        </is>
      </c>
      <c r="B2" s="20" t="inlineStr">
        <is>
          <t>1.1</t>
        </is>
      </c>
      <c r="C2" s="20" t="inlineStr">
        <is>
          <t>1.1.100</t>
        </is>
      </c>
      <c r="D2" s="117" t="inlineStr">
        <is>
          <t>Servidores CTC principales</t>
        </is>
      </c>
      <c r="E2" s="20" t="inlineStr">
        <is>
          <t>SUMINISTRO</t>
        </is>
      </c>
      <c r="F2" s="20" t="inlineStr">
        <is>
          <t>UND</t>
        </is>
      </c>
      <c r="G2" s="20" t="n">
        <v>2</v>
      </c>
      <c r="H2" s="278" t="n">
        <v>180000000</v>
      </c>
      <c r="I2" s="278">
        <f>Tabla2[[#This Row],[VU (COP)]]*Tabla2[[#This Row],[CANTIDAD]]</f>
        <v/>
      </c>
      <c r="J2" s="278">
        <f>Tabla2[[#This Row],[TOTAL (COP)]]/$M$1</f>
        <v/>
      </c>
      <c r="K2" s="5" t="n"/>
      <c r="L2" s="5" t="n"/>
      <c r="M2" s="5" t="n"/>
    </row>
    <row r="3">
      <c r="A3" s="112" t="inlineStr">
        <is>
          <t>1. CONTROL Y SENALIZACIÓN VIRTUAL</t>
        </is>
      </c>
      <c r="B3" s="22" t="inlineStr">
        <is>
          <t>1.1</t>
        </is>
      </c>
      <c r="C3" s="22" t="inlineStr">
        <is>
          <t>1.1.101</t>
        </is>
      </c>
      <c r="D3" s="118" t="inlineStr">
        <is>
          <t>Servidores CTC respaldo</t>
        </is>
      </c>
      <c r="E3" s="22" t="inlineStr">
        <is>
          <t>SUMINISTRO</t>
        </is>
      </c>
      <c r="F3" s="22" t="inlineStr">
        <is>
          <t>UND</t>
        </is>
      </c>
      <c r="G3" s="22" t="n">
        <v>2</v>
      </c>
      <c r="H3" s="279" t="n">
        <v>180000000</v>
      </c>
      <c r="I3" s="279">
        <f>Tabla2[[#This Row],[VU (COP)]]*Tabla2[[#This Row],[CANTIDAD]]</f>
        <v/>
      </c>
      <c r="J3" s="279">
        <f>Tabla2[[#This Row],[TOTAL (COP)]]/$M$1</f>
        <v/>
      </c>
      <c r="K3" s="5" t="n"/>
      <c r="L3" s="5" t="n"/>
      <c r="M3" s="5" t="n"/>
    </row>
    <row r="4">
      <c r="A4" s="112" t="inlineStr">
        <is>
          <t>1. CONTROL Y SENALIZACIÓN VIRTUAL</t>
        </is>
      </c>
      <c r="B4" s="22" t="inlineStr">
        <is>
          <t>1.1</t>
        </is>
      </c>
      <c r="C4" s="22" t="inlineStr">
        <is>
          <t>1.1.102</t>
        </is>
      </c>
      <c r="D4" s="118" t="inlineStr">
        <is>
          <t>Workstations operadores</t>
        </is>
      </c>
      <c r="E4" s="22" t="inlineStr">
        <is>
          <t>SUMINISTRO</t>
        </is>
      </c>
      <c r="F4" s="22" t="inlineStr">
        <is>
          <t>UND</t>
        </is>
      </c>
      <c r="G4" s="22" t="n">
        <v>8</v>
      </c>
      <c r="H4" s="279" t="n">
        <v>45000000</v>
      </c>
      <c r="I4" s="279">
        <f>Tabla2[[#This Row],[VU (COP)]]*Tabla2[[#This Row],[CANTIDAD]]</f>
        <v/>
      </c>
      <c r="J4" s="279">
        <f>Tabla2[[#This Row],[TOTAL (COP)]]/$M$1</f>
        <v/>
      </c>
      <c r="K4" s="5" t="n"/>
      <c r="L4" s="5" t="n"/>
      <c r="M4" s="5" t="n"/>
    </row>
    <row r="5" ht="26.25" customHeight="1">
      <c r="A5" s="112" t="inlineStr">
        <is>
          <t>1. CONTROL Y SENALIZACIÓN VIRTUAL</t>
        </is>
      </c>
      <c r="B5" s="22" t="inlineStr">
        <is>
          <t>1.1</t>
        </is>
      </c>
      <c r="C5" s="22" t="inlineStr">
        <is>
          <t>1.1.103</t>
        </is>
      </c>
      <c r="D5" s="118" t="inlineStr">
        <is>
          <t>Software CTC virtual + Autorizaciones PTC (Interoperabilidad Procedimental)</t>
        </is>
      </c>
      <c r="E5" s="22" t="inlineStr">
        <is>
          <t>SUMINISTRO</t>
        </is>
      </c>
      <c r="F5" s="22" t="inlineStr">
        <is>
          <t>UND</t>
        </is>
      </c>
      <c r="G5" s="22" t="n">
        <v>1</v>
      </c>
      <c r="H5" s="279" t="n">
        <v>11000000000</v>
      </c>
      <c r="I5" s="279">
        <f>Tabla2[[#This Row],[VU (COP)]]*Tabla2[[#This Row],[CANTIDAD]]</f>
        <v/>
      </c>
      <c r="J5" s="279">
        <f>Tabla2[[#This Row],[TOTAL (COP)]]/$M$1</f>
        <v/>
      </c>
      <c r="K5" s="5" t="n"/>
      <c r="L5" s="5" t="n"/>
      <c r="M5" s="5" t="n"/>
    </row>
    <row r="6">
      <c r="A6" s="112" t="inlineStr">
        <is>
          <t>1. CONTROL Y SENALIZACIÓN VIRTUAL</t>
        </is>
      </c>
      <c r="B6" s="22" t="inlineStr">
        <is>
          <t>1.1</t>
        </is>
      </c>
      <c r="C6" s="22" t="inlineStr">
        <is>
          <t>1.1.104</t>
        </is>
      </c>
      <c r="D6" s="118" t="inlineStr">
        <is>
          <t>Base de datos centralizada</t>
        </is>
      </c>
      <c r="E6" s="22" t="inlineStr">
        <is>
          <t>SUMINISTRO</t>
        </is>
      </c>
      <c r="F6" s="22" t="inlineStr">
        <is>
          <t>UND</t>
        </is>
      </c>
      <c r="G6" s="22" t="n">
        <v>1</v>
      </c>
      <c r="H6" s="279" t="n">
        <v>200000000</v>
      </c>
      <c r="I6" s="279">
        <f>Tabla2[[#This Row],[VU (COP)]]*Tabla2[[#This Row],[CANTIDAD]]</f>
        <v/>
      </c>
      <c r="J6" s="279">
        <f>Tabla2[[#This Row],[TOTAL (COP)]]/$M$1</f>
        <v/>
      </c>
      <c r="K6" s="5" t="n"/>
      <c r="L6" s="5" t="n"/>
      <c r="M6" s="5" t="n"/>
    </row>
    <row r="7">
      <c r="A7" s="112" t="inlineStr">
        <is>
          <t>1. CONTROL Y SENALIZACIÓN VIRTUAL</t>
        </is>
      </c>
      <c r="B7" s="22" t="inlineStr">
        <is>
          <t>1.1</t>
        </is>
      </c>
      <c r="C7" s="22" t="inlineStr">
        <is>
          <t>1.1.105</t>
        </is>
      </c>
      <c r="D7" s="118" t="inlineStr">
        <is>
          <t>Sistema redundancia</t>
        </is>
      </c>
      <c r="E7" s="22" t="inlineStr">
        <is>
          <t>SUMINISTRO</t>
        </is>
      </c>
      <c r="F7" s="22" t="inlineStr">
        <is>
          <t>UND</t>
        </is>
      </c>
      <c r="G7" s="22" t="n">
        <v>1</v>
      </c>
      <c r="H7" s="279" t="n">
        <v>300000000</v>
      </c>
      <c r="I7" s="279">
        <f>Tabla2[[#This Row],[VU (COP)]]*Tabla2[[#This Row],[CANTIDAD]]</f>
        <v/>
      </c>
      <c r="J7" s="279">
        <f>Tabla2[[#This Row],[TOTAL (COP)]]/$M$1</f>
        <v/>
      </c>
      <c r="K7" s="5" t="n"/>
      <c r="L7" s="5" t="n"/>
      <c r="M7" s="5" t="n"/>
    </row>
    <row r="8">
      <c r="A8" s="112" t="inlineStr">
        <is>
          <t>1. CONTROL Y SENALIZACIÓN VIRTUAL</t>
        </is>
      </c>
      <c r="B8" s="22" t="inlineStr">
        <is>
          <t>1.1</t>
        </is>
      </c>
      <c r="C8" s="22" t="inlineStr">
        <is>
          <t>1.1.106</t>
        </is>
      </c>
      <c r="D8" s="118" t="inlineStr">
        <is>
          <t>Interfaces comunicación</t>
        </is>
      </c>
      <c r="E8" s="22" t="inlineStr">
        <is>
          <t>SUMINISTRO</t>
        </is>
      </c>
      <c r="F8" s="22" t="inlineStr">
        <is>
          <t>UND</t>
        </is>
      </c>
      <c r="G8" s="22" t="n">
        <v>1</v>
      </c>
      <c r="H8" s="279" t="n">
        <v>150000000</v>
      </c>
      <c r="I8" s="279">
        <f>Tabla2[[#This Row],[VU (COP)]]*Tabla2[[#This Row],[CANTIDAD]]</f>
        <v/>
      </c>
      <c r="J8" s="279">
        <f>Tabla2[[#This Row],[TOTAL (COP)]]/$M$1</f>
        <v/>
      </c>
      <c r="K8" s="5" t="n"/>
      <c r="L8" s="5" t="n"/>
      <c r="M8" s="5" t="n"/>
    </row>
    <row r="9">
      <c r="A9" s="112" t="inlineStr">
        <is>
          <t>1. CONTROL Y SENALIZACIÓN VIRTUAL</t>
        </is>
      </c>
      <c r="B9" s="22" t="inlineStr">
        <is>
          <t>1.2</t>
        </is>
      </c>
      <c r="C9" s="22" t="inlineStr">
        <is>
          <t>1.2.100</t>
        </is>
      </c>
      <c r="D9" s="118" t="inlineStr">
        <is>
          <t>Computadora PTC embarcada</t>
        </is>
      </c>
      <c r="E9" s="22" t="inlineStr">
        <is>
          <t>SUMINISTRO</t>
        </is>
      </c>
      <c r="F9" s="22" t="inlineStr">
        <is>
          <t>UND</t>
        </is>
      </c>
      <c r="G9" s="22" t="n">
        <v>15</v>
      </c>
      <c r="H9" s="279" t="n">
        <v>120000000</v>
      </c>
      <c r="I9" s="279">
        <f>Tabla2[[#This Row],[VU (COP)]]*Tabla2[[#This Row],[CANTIDAD]]</f>
        <v/>
      </c>
      <c r="J9" s="279">
        <f>Tabla2[[#This Row],[TOTAL (COP)]]/$M$1</f>
        <v/>
      </c>
      <c r="K9" s="5" t="n"/>
      <c r="L9" s="5" t="n"/>
      <c r="M9" s="5" t="n"/>
    </row>
    <row r="10">
      <c r="A10" s="112" t="inlineStr">
        <is>
          <t>1. CONTROL Y SENALIZACIÓN VIRTUAL</t>
        </is>
      </c>
      <c r="B10" s="22" t="inlineStr">
        <is>
          <t>1.2</t>
        </is>
      </c>
      <c r="C10" s="22" t="inlineStr">
        <is>
          <t>1.2.101</t>
        </is>
      </c>
      <c r="D10" s="118" t="inlineStr">
        <is>
          <t>Display maquinista</t>
        </is>
      </c>
      <c r="E10" s="22" t="inlineStr">
        <is>
          <t>SUMINISTRO</t>
        </is>
      </c>
      <c r="F10" s="22" t="inlineStr">
        <is>
          <t>UND</t>
        </is>
      </c>
      <c r="G10" s="22" t="n">
        <v>15</v>
      </c>
      <c r="H10" s="279" t="n">
        <v>80000000</v>
      </c>
      <c r="I10" s="279">
        <f>Tabla2[[#This Row],[VU (COP)]]*Tabla2[[#This Row],[CANTIDAD]]</f>
        <v/>
      </c>
      <c r="J10" s="279">
        <f>Tabla2[[#This Row],[TOTAL (COP)]]/$M$1</f>
        <v/>
      </c>
      <c r="K10" s="5" t="n"/>
      <c r="L10" s="5" t="n"/>
      <c r="M10" s="5" t="n"/>
    </row>
    <row r="11">
      <c r="A11" s="112" t="inlineStr">
        <is>
          <t>1. CONTROL Y SENALIZACIÓN VIRTUAL</t>
        </is>
      </c>
      <c r="B11" s="22" t="inlineStr">
        <is>
          <t>1.2</t>
        </is>
      </c>
      <c r="C11" s="22" t="inlineStr">
        <is>
          <t>1.2.102</t>
        </is>
      </c>
      <c r="D11" s="118" t="inlineStr">
        <is>
          <t>Sensores velocidad</t>
        </is>
      </c>
      <c r="E11" s="22" t="inlineStr">
        <is>
          <t>SUMINISTRO</t>
        </is>
      </c>
      <c r="F11" s="22" t="inlineStr">
        <is>
          <t>UND</t>
        </is>
      </c>
      <c r="G11" s="22" t="n">
        <v>15</v>
      </c>
      <c r="H11" s="279" t="n">
        <v>25000000</v>
      </c>
      <c r="I11" s="279">
        <f>Tabla2[[#This Row],[VU (COP)]]*Tabla2[[#This Row],[CANTIDAD]]</f>
        <v/>
      </c>
      <c r="J11" s="279">
        <f>Tabla2[[#This Row],[TOTAL (COP)]]/$M$1</f>
        <v/>
      </c>
      <c r="K11" s="5" t="n"/>
      <c r="L11" s="5" t="n"/>
      <c r="M11" s="5" t="n"/>
    </row>
    <row r="12">
      <c r="A12" s="112" t="inlineStr">
        <is>
          <t>1. CONTROL Y SENALIZACIÓN VIRTUAL</t>
        </is>
      </c>
      <c r="B12" s="22" t="inlineStr">
        <is>
          <t>1.2</t>
        </is>
      </c>
      <c r="C12" s="22" t="inlineStr">
        <is>
          <t>1.2.103</t>
        </is>
      </c>
      <c r="D12" s="118" t="inlineStr">
        <is>
          <t>Sistema GPS</t>
        </is>
      </c>
      <c r="E12" s="22" t="inlineStr">
        <is>
          <t>SUMINISTRO</t>
        </is>
      </c>
      <c r="F12" s="22" t="inlineStr">
        <is>
          <t>UND</t>
        </is>
      </c>
      <c r="G12" s="22" t="n">
        <v>15</v>
      </c>
      <c r="H12" s="279" t="n">
        <v>35000000</v>
      </c>
      <c r="I12" s="279">
        <f>Tabla2[[#This Row],[VU (COP)]]*Tabla2[[#This Row],[CANTIDAD]]</f>
        <v/>
      </c>
      <c r="J12" s="279">
        <f>Tabla2[[#This Row],[TOTAL (COP)]]/$M$1</f>
        <v/>
      </c>
      <c r="K12" s="5" t="n"/>
      <c r="L12" s="5" t="n"/>
      <c r="M12" s="5" t="n"/>
    </row>
    <row r="13">
      <c r="A13" s="112" t="inlineStr">
        <is>
          <t>1. CONTROL Y SENALIZACIÓN VIRTUAL</t>
        </is>
      </c>
      <c r="B13" s="22" t="inlineStr">
        <is>
          <t>1.2</t>
        </is>
      </c>
      <c r="C13" s="22" t="inlineStr">
        <is>
          <t>1.2.104</t>
        </is>
      </c>
      <c r="D13" s="118" t="inlineStr">
        <is>
          <t>Software PTC</t>
        </is>
      </c>
      <c r="E13" s="22" t="inlineStr">
        <is>
          <t>SUMINISTRO</t>
        </is>
      </c>
      <c r="F13" s="22" t="inlineStr">
        <is>
          <t>UND</t>
        </is>
      </c>
      <c r="G13" s="22" t="n">
        <v>15</v>
      </c>
      <c r="H13" s="279" t="n">
        <v>100000000</v>
      </c>
      <c r="I13" s="279">
        <f>Tabla2[[#This Row],[VU (COP)]]*Tabla2[[#This Row],[CANTIDAD]]</f>
        <v/>
      </c>
      <c r="J13" s="279">
        <f>Tabla2[[#This Row],[TOTAL (COP)]]/$M$1</f>
        <v/>
      </c>
      <c r="K13" s="5" t="n"/>
      <c r="L13" s="5" t="n"/>
      <c r="M13" s="5" t="n"/>
    </row>
    <row r="14">
      <c r="A14" s="112" t="inlineStr">
        <is>
          <t>1. CONTROL Y SENALIZACIÓN VIRTUAL</t>
        </is>
      </c>
      <c r="B14" s="22" t="inlineStr">
        <is>
          <t>1.2</t>
        </is>
      </c>
      <c r="C14" s="22" t="inlineStr">
        <is>
          <t>1.2.105</t>
        </is>
      </c>
      <c r="D14" s="118" t="inlineStr">
        <is>
          <t>Interfaces frenos</t>
        </is>
      </c>
      <c r="E14" s="22" t="inlineStr">
        <is>
          <t>SUMINISTRO</t>
        </is>
      </c>
      <c r="F14" s="22" t="inlineStr">
        <is>
          <t>UND</t>
        </is>
      </c>
      <c r="G14" s="22" t="n">
        <v>15</v>
      </c>
      <c r="H14" s="279" t="n">
        <v>30000000</v>
      </c>
      <c r="I14" s="279">
        <f>Tabla2[[#This Row],[VU (COP)]]*Tabla2[[#This Row],[CANTIDAD]]</f>
        <v/>
      </c>
      <c r="J14" s="279">
        <f>Tabla2[[#This Row],[TOTAL (COP)]]/$M$1</f>
        <v/>
      </c>
      <c r="K14" s="5" t="n"/>
      <c r="L14" s="5" t="n"/>
      <c r="M14" s="5" t="n"/>
    </row>
    <row r="15">
      <c r="A15" s="112" t="inlineStr">
        <is>
          <t>1. CONTROL Y SENALIZACIÓN VIRTUAL</t>
        </is>
      </c>
      <c r="B15" s="22" t="inlineStr">
        <is>
          <t>1.2</t>
        </is>
      </c>
      <c r="C15" s="22" t="inlineStr">
        <is>
          <t>1.2.106</t>
        </is>
      </c>
      <c r="D15" s="118" t="inlineStr">
        <is>
          <t>Sistema redundancia</t>
        </is>
      </c>
      <c r="E15" s="22" t="inlineStr">
        <is>
          <t>SUMINISTRO</t>
        </is>
      </c>
      <c r="F15" s="22" t="inlineStr">
        <is>
          <t>UND</t>
        </is>
      </c>
      <c r="G15" s="22" t="n">
        <v>15</v>
      </c>
      <c r="H15" s="279" t="n">
        <v>50000000</v>
      </c>
      <c r="I15" s="279">
        <f>Tabla2[[#This Row],[VU (COP)]]*Tabla2[[#This Row],[CANTIDAD]]</f>
        <v/>
      </c>
      <c r="J15" s="279">
        <f>Tabla2[[#This Row],[TOTAL (COP)]]/$M$1</f>
        <v/>
      </c>
      <c r="K15" s="5" t="n"/>
      <c r="L15" s="5" t="n"/>
      <c r="M15" s="5" t="n"/>
    </row>
    <row r="16" ht="51.75" customHeight="1">
      <c r="A16" s="112" t="inlineStr">
        <is>
          <t>1. CONTROL Y SENALIZACIÓN VIRTUAL</t>
        </is>
      </c>
      <c r="B16" s="22" t="inlineStr">
        <is>
          <t>1.3</t>
        </is>
      </c>
      <c r="C16" s="22" t="inlineStr">
        <is>
          <t>1.3.100</t>
        </is>
      </c>
      <c r="D16" s="118" t="inlineStr">
        <is>
          <t>Controlador ENCE Zapatosa (BPA v1.4.0: núcleo CAC €249.783 + módulos ≈ €414K = $1.987M COP; UCP real CAC020caa €118.006, no €356.780)</t>
        </is>
      </c>
      <c r="E16" s="22" t="inlineStr">
        <is>
          <t>SUMINISTRO</t>
        </is>
      </c>
      <c r="F16" s="22" t="inlineStr">
        <is>
          <t>UND</t>
        </is>
      </c>
      <c r="G16" s="22" t="n">
        <v>1</v>
      </c>
      <c r="H16" s="279" t="n">
        <v>2000000000</v>
      </c>
      <c r="I16" s="279">
        <f>Tabla2[[#This Row],[VU (COP)]]*Tabla2[[#This Row],[CANTIDAD]]</f>
        <v/>
      </c>
      <c r="J16" s="279">
        <f>Tabla2[[#This Row],[TOTAL (COP)]]/$M$1</f>
        <v/>
      </c>
      <c r="K16" s="5" t="n"/>
      <c r="L16" s="5" t="n"/>
      <c r="M16" s="5" t="n"/>
    </row>
    <row r="17" ht="26.25" customHeight="1">
      <c r="A17" s="112" t="inlineStr">
        <is>
          <t>1. CONTROL Y SENALIZACIÓN VIRTUAL</t>
        </is>
      </c>
      <c r="B17" s="22" t="inlineStr">
        <is>
          <t>1.3</t>
        </is>
      </c>
      <c r="C17" s="22" t="inlineStr">
        <is>
          <t>1.3.101</t>
        </is>
      </c>
      <c r="D17" s="118" t="inlineStr">
        <is>
          <t>Controlador ENCE García Cadena (DT-COMS-2026-007)</t>
        </is>
      </c>
      <c r="E17" s="22" t="inlineStr">
        <is>
          <t>SUMINISTRO</t>
        </is>
      </c>
      <c r="F17" s="22" t="inlineStr">
        <is>
          <t>UND</t>
        </is>
      </c>
      <c r="G17" s="22" t="n">
        <v>1</v>
      </c>
      <c r="H17" s="279" t="n">
        <v>2000000000</v>
      </c>
      <c r="I17" s="279">
        <f>Tabla2[[#This Row],[VU (COP)]]*Tabla2[[#This Row],[CANTIDAD]]</f>
        <v/>
      </c>
      <c r="J17" s="279">
        <f>Tabla2[[#This Row],[TOTAL (COP)]]/$M$1</f>
        <v/>
      </c>
      <c r="K17" s="5" t="n"/>
      <c r="L17" s="5" t="n"/>
      <c r="M17" s="5" t="n"/>
    </row>
    <row r="18" ht="26.25" customHeight="1">
      <c r="A18" s="112" t="inlineStr">
        <is>
          <t>1. CONTROL Y SENALIZACIÓN VIRTUAL</t>
        </is>
      </c>
      <c r="B18" s="22" t="inlineStr">
        <is>
          <t>1.3</t>
        </is>
      </c>
      <c r="C18" s="22" t="inlineStr">
        <is>
          <t>1.3.102</t>
        </is>
      </c>
      <c r="D18" s="118" t="inlineStr">
        <is>
          <t>Controlador ENCE Barrancabermeja (Puerto) (DT-COMS-2026-007)</t>
        </is>
      </c>
      <c r="E18" s="22" t="inlineStr">
        <is>
          <t>SUMINISTRO</t>
        </is>
      </c>
      <c r="F18" s="22" t="inlineStr">
        <is>
          <t>UND</t>
        </is>
      </c>
      <c r="G18" s="22" t="n">
        <v>1</v>
      </c>
      <c r="H18" s="279" t="n">
        <v>2000000000</v>
      </c>
      <c r="I18" s="279">
        <f>Tabla2[[#This Row],[VU (COP)]]*Tabla2[[#This Row],[CANTIDAD]]</f>
        <v/>
      </c>
      <c r="J18" s="279">
        <f>Tabla2[[#This Row],[TOTAL (COP)]]/$M$1</f>
        <v/>
      </c>
      <c r="K18" s="5" t="n"/>
      <c r="L18" s="5" t="n"/>
      <c r="M18" s="5" t="n"/>
    </row>
    <row r="19" ht="26.25" customHeight="1">
      <c r="A19" s="112" t="inlineStr">
        <is>
          <t>1. CONTROL Y SENALIZACIÓN VIRTUAL</t>
        </is>
      </c>
      <c r="B19" s="22" t="inlineStr">
        <is>
          <t>1.3</t>
        </is>
      </c>
      <c r="C19" s="22" t="inlineStr">
        <is>
          <t>1.3.103</t>
        </is>
      </c>
      <c r="D19" s="118" t="inlineStr">
        <is>
          <t>Controlador ENCE Puerto Berrío-Grecia (DT-COMS-2026-007)</t>
        </is>
      </c>
      <c r="E19" s="22" t="inlineStr">
        <is>
          <t>SUMINISTRO</t>
        </is>
      </c>
      <c r="F19" s="22" t="inlineStr">
        <is>
          <t>UND</t>
        </is>
      </c>
      <c r="G19" s="22" t="n">
        <v>1</v>
      </c>
      <c r="H19" s="279" t="n">
        <v>2000000000</v>
      </c>
      <c r="I19" s="279">
        <f>Tabla2[[#This Row],[VU (COP)]]*Tabla2[[#This Row],[CANTIDAD]]</f>
        <v/>
      </c>
      <c r="J19" s="279">
        <f>Tabla2[[#This Row],[TOTAL (COP)]]/$M$1</f>
        <v/>
      </c>
      <c r="K19" s="5" t="n"/>
      <c r="L19" s="5" t="n"/>
      <c r="M19" s="5" t="n"/>
    </row>
    <row r="20" ht="26.25" customHeight="1">
      <c r="A20" s="112" t="inlineStr">
        <is>
          <t>1. CONTROL Y SENALIZACIÓN VIRTUAL</t>
        </is>
      </c>
      <c r="B20" s="22" t="inlineStr">
        <is>
          <t>1.3</t>
        </is>
      </c>
      <c r="C20" s="22" t="inlineStr">
        <is>
          <t>1.3.104</t>
        </is>
      </c>
      <c r="D20" s="118" t="inlineStr">
        <is>
          <t>Controlador ENCE La Dorada-México (DT-COMS-2026-007)</t>
        </is>
      </c>
      <c r="E20" s="22" t="inlineStr">
        <is>
          <t>SUMINISTRO</t>
        </is>
      </c>
      <c r="F20" s="22" t="inlineStr">
        <is>
          <t>UND</t>
        </is>
      </c>
      <c r="G20" s="22" t="n">
        <v>1</v>
      </c>
      <c r="H20" s="279" t="n">
        <v>2000000000</v>
      </c>
      <c r="I20" s="279">
        <f>Tabla2[[#This Row],[VU (COP)]]*Tabla2[[#This Row],[CANTIDAD]]</f>
        <v/>
      </c>
      <c r="J20" s="279">
        <f>Tabla2[[#This Row],[TOTAL (COP)]]/$M$1</f>
        <v/>
      </c>
      <c r="K20" s="5" t="n"/>
      <c r="L20" s="5" t="n"/>
      <c r="M20" s="5" t="n"/>
    </row>
    <row r="21">
      <c r="A21" s="112" t="inlineStr">
        <is>
          <t>1. CONTROL Y SENALIZACIÓN VIRTUAL</t>
        </is>
      </c>
      <c r="B21" s="22" t="inlineStr">
        <is>
          <t>1.3</t>
        </is>
      </c>
      <c r="C21" s="22" t="inlineStr">
        <is>
          <t>1.3.105</t>
        </is>
      </c>
      <c r="D21" s="118" t="inlineStr">
        <is>
          <t>Sistema redundancia ENCE</t>
        </is>
      </c>
      <c r="E21" s="22" t="inlineStr">
        <is>
          <t>SUMINISTRO</t>
        </is>
      </c>
      <c r="F21" s="22" t="inlineStr">
        <is>
          <t>UND</t>
        </is>
      </c>
      <c r="G21" s="22" t="n">
        <v>1</v>
      </c>
      <c r="H21" s="279" t="n">
        <v>400000000</v>
      </c>
      <c r="I21" s="279">
        <f>Tabla2[[#This Row],[VU (COP)]]*Tabla2[[#This Row],[CANTIDAD]]</f>
        <v/>
      </c>
      <c r="J21" s="279">
        <f>Tabla2[[#This Row],[TOTAL (COP)]]/$M$1</f>
        <v/>
      </c>
      <c r="K21" s="5" t="n"/>
      <c r="L21" s="5" t="n"/>
      <c r="M21" s="5" t="n"/>
    </row>
    <row r="22">
      <c r="A22" s="112" t="inlineStr">
        <is>
          <t>1. CONTROL Y SENALIZACIÓN VIRTUAL</t>
        </is>
      </c>
      <c r="B22" s="22" t="inlineStr">
        <is>
          <t>1.3</t>
        </is>
      </c>
      <c r="C22" s="22" t="inlineStr">
        <is>
          <t>1.3.106</t>
        </is>
      </c>
      <c r="D22" s="118" t="inlineStr">
        <is>
          <t>Interfaces CTC-ENCE</t>
        </is>
      </c>
      <c r="E22" s="22" t="inlineStr">
        <is>
          <t>SUMINISTRO</t>
        </is>
      </c>
      <c r="F22" s="22" t="inlineStr">
        <is>
          <t>UND</t>
        </is>
      </c>
      <c r="G22" s="22" t="n">
        <v>5</v>
      </c>
      <c r="H22" s="279" t="n">
        <v>60000000</v>
      </c>
      <c r="I22" s="279">
        <f>Tabla2[[#This Row],[VU (COP)]]*Tabla2[[#This Row],[CANTIDAD]]</f>
        <v/>
      </c>
      <c r="J22" s="279">
        <f>Tabla2[[#This Row],[TOTAL (COP)]]/$M$1</f>
        <v/>
      </c>
      <c r="K22" s="5" t="n"/>
      <c r="L22" s="5" t="n"/>
      <c r="M22" s="5" t="n"/>
    </row>
    <row r="23" ht="39" customHeight="1">
      <c r="A23" s="112" t="inlineStr">
        <is>
          <t>1. CONTROL Y SENALIZACIÓN VIRTUAL</t>
        </is>
      </c>
      <c r="B23" s="22" t="inlineStr">
        <is>
          <t>1.4</t>
        </is>
      </c>
      <c r="C23" s="22" t="inlineStr">
        <is>
          <t>1.4.100</t>
        </is>
      </c>
      <c r="D23" s="118" t="inlineStr">
        <is>
          <t>Desvíos motorizados CTC (BPA v1.4.0: VEA010aba €104.566 solo suministro; +montaje +trocha 914mm justifican $640M COP)</t>
        </is>
      </c>
      <c r="E23" s="22" t="inlineStr">
        <is>
          <t>SUMINISTRO</t>
        </is>
      </c>
      <c r="F23" s="22" t="inlineStr">
        <is>
          <t>UND</t>
        </is>
      </c>
      <c r="G23" s="22" t="n">
        <v>25</v>
      </c>
      <c r="H23" s="279" t="n">
        <v>640000000</v>
      </c>
      <c r="I23" s="279">
        <f>Tabla2[[#This Row],[VU (COP)]]*Tabla2[[#This Row],[CANTIDAD]]</f>
        <v/>
      </c>
      <c r="J23" s="279">
        <f>Tabla2[[#This Row],[TOTAL (COP)]]/$M$1</f>
        <v/>
      </c>
      <c r="K23" s="5" t="n"/>
      <c r="L23" s="5" t="n"/>
      <c r="M23" s="5" t="n"/>
    </row>
    <row r="24" ht="26.25" customHeight="1">
      <c r="A24" s="112" t="inlineStr">
        <is>
          <t>1. CONTROL Y SENALIZACIÓN VIRTUAL</t>
        </is>
      </c>
      <c r="B24" s="22" t="inlineStr">
        <is>
          <t>1.4</t>
        </is>
      </c>
      <c r="C24" s="22" t="inlineStr">
        <is>
          <t>1.4.101</t>
        </is>
      </c>
      <c r="D24" s="118" t="inlineStr">
        <is>
          <t>Sistemas control remoto + redundancia N+1</t>
        </is>
      </c>
      <c r="E24" s="22" t="inlineStr">
        <is>
          <t>SUMINISTRO</t>
        </is>
      </c>
      <c r="F24" s="22" t="inlineStr">
        <is>
          <t>UND</t>
        </is>
      </c>
      <c r="G24" s="22" t="n">
        <v>25</v>
      </c>
      <c r="H24" s="279" t="n">
        <v>134577000</v>
      </c>
      <c r="I24" s="279">
        <f>Tabla2[[#This Row],[VU (COP)]]*Tabla2[[#This Row],[CANTIDAD]]</f>
        <v/>
      </c>
      <c r="J24" s="279">
        <f>Tabla2[[#This Row],[TOTAL (COP)]]/$M$1</f>
        <v/>
      </c>
      <c r="K24" s="5" t="n"/>
      <c r="L24" s="5" t="n"/>
      <c r="M24" s="5" t="n"/>
    </row>
    <row r="25">
      <c r="A25" s="112" t="inlineStr">
        <is>
          <t>1. CONTROL Y SENALIZACIÓN VIRTUAL</t>
        </is>
      </c>
      <c r="B25" s="22" t="inlineStr">
        <is>
          <t>1.4</t>
        </is>
      </c>
      <c r="C25" s="22" t="inlineStr">
        <is>
          <t>1.4.102</t>
        </is>
      </c>
      <c r="D25" s="118" t="inlineStr">
        <is>
          <t>Interfaces CTC/ENCE</t>
        </is>
      </c>
      <c r="E25" s="22" t="inlineStr">
        <is>
          <t>SUMINISTRO</t>
        </is>
      </c>
      <c r="F25" s="22" t="inlineStr">
        <is>
          <t>UND</t>
        </is>
      </c>
      <c r="G25" s="22" t="n">
        <v>25</v>
      </c>
      <c r="H25" s="279" t="n">
        <v>67288000</v>
      </c>
      <c r="I25" s="279">
        <f>Tabla2[[#This Row],[VU (COP)]]*Tabla2[[#This Row],[CANTIDAD]]</f>
        <v/>
      </c>
      <c r="J25" s="279">
        <f>Tabla2[[#This Row],[TOTAL (COP)]]/$M$1</f>
        <v/>
      </c>
      <c r="K25" s="5" t="n"/>
      <c r="L25" s="5" t="n"/>
      <c r="M25" s="5" t="n"/>
    </row>
    <row r="26" ht="26.25" customHeight="1">
      <c r="A26" s="112" t="inlineStr">
        <is>
          <t>1. CONTROL Y SENALIZACIÓN VIRTUAL</t>
        </is>
      </c>
      <c r="B26" s="22" t="inlineStr">
        <is>
          <t>1.5</t>
        </is>
      </c>
      <c r="C26" s="22" t="inlineStr">
        <is>
          <t>1.5.100</t>
        </is>
      </c>
      <c r="D26" s="118" t="inlineStr">
        <is>
          <t>Desvíos manuales autotalonables (con comprobador integrado)</t>
        </is>
      </c>
      <c r="E26" s="22" t="inlineStr">
        <is>
          <t>SUMINISTRO</t>
        </is>
      </c>
      <c r="F26" s="22" t="inlineStr">
        <is>
          <t>UND</t>
        </is>
      </c>
      <c r="G26" s="22" t="n">
        <v>120</v>
      </c>
      <c r="H26" s="279" t="n">
        <v>134577000</v>
      </c>
      <c r="I26" s="279">
        <f>Tabla2[[#This Row],[VU (COP)]]*Tabla2[[#This Row],[CANTIDAD]]</f>
        <v/>
      </c>
      <c r="J26" s="279">
        <f>Tabla2[[#This Row],[TOTAL (COP)]]/$M$1</f>
        <v/>
      </c>
      <c r="K26" s="5" t="n"/>
      <c r="L26" s="5" t="n"/>
      <c r="M26" s="5" t="n"/>
    </row>
    <row r="27" ht="39" customHeight="1">
      <c r="A27" s="112" t="inlineStr">
        <is>
          <t>1. CONTROL Y SENALIZACIÓN VIRTUAL</t>
        </is>
      </c>
      <c r="B27" s="22" t="inlineStr">
        <is>
          <t>1.5</t>
        </is>
      </c>
      <c r="C27" s="22" t="inlineStr">
        <is>
          <t>1.5.101</t>
        </is>
      </c>
      <c r="D27" s="118" t="inlineStr">
        <is>
          <t>Señalización semafórica estaciones ENCE (5 estaciones × 6 señales/estación promedio)</t>
        </is>
      </c>
      <c r="E27" s="22" t="inlineStr">
        <is>
          <t>SUMINISTRO</t>
        </is>
      </c>
      <c r="F27" s="22" t="inlineStr">
        <is>
          <t>UND</t>
        </is>
      </c>
      <c r="G27" s="22" t="n">
        <v>30</v>
      </c>
      <c r="H27" s="279" t="n">
        <v>51920000</v>
      </c>
      <c r="I27" s="279">
        <f>Tabla2[[#This Row],[VU (COP)]]*Tabla2[[#This Row],[CANTIDAD]]</f>
        <v/>
      </c>
      <c r="J27" s="279">
        <f>Tabla2[[#This Row],[TOTAL (COP)]]/$M$1</f>
        <v/>
      </c>
      <c r="K27" s="5" t="n"/>
      <c r="L27" s="5" t="n"/>
      <c r="M27" s="5" t="n"/>
    </row>
    <row r="28" ht="26.25" customHeight="1">
      <c r="A28" s="112" t="inlineStr">
        <is>
          <t>1. CONTROL Y SENALIZACIÓN VIRTUAL</t>
        </is>
      </c>
      <c r="B28" s="22" t="inlineStr">
        <is>
          <t>1.5</t>
        </is>
      </c>
      <c r="C28" s="22" t="inlineStr">
        <is>
          <t>1.5.102</t>
        </is>
      </c>
      <c r="D28" s="118" t="inlineStr">
        <is>
          <t>Herramientas operación (kit completo certificado)</t>
        </is>
      </c>
      <c r="E28" s="22" t="inlineStr">
        <is>
          <t>SUMINISTRO</t>
        </is>
      </c>
      <c r="F28" s="22" t="inlineStr">
        <is>
          <t>UND</t>
        </is>
      </c>
      <c r="G28" s="22" t="n">
        <v>120</v>
      </c>
      <c r="H28" s="279" t="n">
        <v>13458000</v>
      </c>
      <c r="I28" s="279">
        <f>Tabla2[[#This Row],[VU (COP)]]*Tabla2[[#This Row],[CANTIDAD]]</f>
        <v/>
      </c>
      <c r="J28" s="279">
        <f>Tabla2[[#This Row],[TOTAL (COP)]]/$M$1</f>
        <v/>
      </c>
      <c r="K28" s="5" t="n"/>
      <c r="L28" s="5" t="n"/>
      <c r="M28" s="5" t="n"/>
    </row>
    <row r="29">
      <c r="A29" s="112" t="inlineStr">
        <is>
          <t>2. TELECOMUNICACIONES COLOCALIZADAS</t>
        </is>
      </c>
      <c r="B29" s="22" t="inlineStr">
        <is>
          <t>2.1</t>
        </is>
      </c>
      <c r="C29" s="22" t="inlineStr">
        <is>
          <t>2.1.100</t>
        </is>
      </c>
      <c r="D29" s="118" t="inlineStr">
        <is>
          <t>Torres autosoportadas</t>
        </is>
      </c>
      <c r="E29" s="22" t="inlineStr">
        <is>
          <t>SUMINISTRO</t>
        </is>
      </c>
      <c r="F29" s="22" t="inlineStr">
        <is>
          <t>UND</t>
        </is>
      </c>
      <c r="G29" s="22" t="n">
        <v>37</v>
      </c>
      <c r="H29" s="279" t="n">
        <v>180000000</v>
      </c>
      <c r="I29" s="279">
        <f>Tabla2[[#This Row],[VU (COP)]]*Tabla2[[#This Row],[CANTIDAD]]</f>
        <v/>
      </c>
      <c r="J29" s="279">
        <f>Tabla2[[#This Row],[TOTAL (COP)]]/$M$1</f>
        <v/>
      </c>
      <c r="K29" s="5" t="n"/>
      <c r="L29" s="5" t="n"/>
      <c r="M29" s="5" t="n"/>
    </row>
    <row r="30">
      <c r="A30" s="112" t="inlineStr">
        <is>
          <t>2. TELECOMUNICACIONES COLOCALIZADAS</t>
        </is>
      </c>
      <c r="B30" s="22" t="inlineStr">
        <is>
          <t>2.1</t>
        </is>
      </c>
      <c r="C30" s="22" t="inlineStr">
        <is>
          <t>2.1.101</t>
        </is>
      </c>
      <c r="D30" s="118" t="inlineStr">
        <is>
          <t>Estaciones base TETRA</t>
        </is>
      </c>
      <c r="E30" s="22" t="inlineStr">
        <is>
          <t>SUMINISTRO</t>
        </is>
      </c>
      <c r="F30" s="22" t="inlineStr">
        <is>
          <t>UND</t>
        </is>
      </c>
      <c r="G30" s="22" t="n">
        <v>37</v>
      </c>
      <c r="H30" s="279" t="n">
        <v>65000000</v>
      </c>
      <c r="I30" s="279">
        <f>Tabla2[[#This Row],[VU (COP)]]*Tabla2[[#This Row],[CANTIDAD]]</f>
        <v/>
      </c>
      <c r="J30" s="279">
        <f>Tabla2[[#This Row],[TOTAL (COP)]]/$M$1</f>
        <v/>
      </c>
      <c r="K30" s="5" t="n"/>
      <c r="L30" s="5" t="n"/>
      <c r="M30" s="5" t="n"/>
    </row>
    <row r="31">
      <c r="A31" s="112" t="inlineStr">
        <is>
          <t>2. TELECOMUNICACIONES COLOCALIZADAS</t>
        </is>
      </c>
      <c r="B31" s="22" t="inlineStr">
        <is>
          <t>2.1</t>
        </is>
      </c>
      <c r="C31" s="22" t="inlineStr">
        <is>
          <t>2.1.102</t>
        </is>
      </c>
      <c r="D31" s="118" t="inlineStr">
        <is>
          <t>Antenas TETRA</t>
        </is>
      </c>
      <c r="E31" s="22" t="inlineStr">
        <is>
          <t>SUMINISTRO</t>
        </is>
      </c>
      <c r="F31" s="22" t="inlineStr">
        <is>
          <t>UND</t>
        </is>
      </c>
      <c r="G31" s="22" t="n">
        <v>37</v>
      </c>
      <c r="H31" s="279" t="n">
        <v>12000000</v>
      </c>
      <c r="I31" s="279">
        <f>Tabla2[[#This Row],[VU (COP)]]*Tabla2[[#This Row],[CANTIDAD]]</f>
        <v/>
      </c>
      <c r="J31" s="279">
        <f>Tabla2[[#This Row],[TOTAL (COP)]]/$M$1</f>
        <v/>
      </c>
      <c r="K31" s="5" t="n"/>
      <c r="L31" s="5" t="n"/>
      <c r="M31" s="5" t="n"/>
    </row>
    <row r="32">
      <c r="A32" s="112" t="inlineStr">
        <is>
          <t>2. TELECOMUNICACIONES COLOCALIZADAS</t>
        </is>
      </c>
      <c r="B32" s="22" t="inlineStr">
        <is>
          <t>2.1</t>
        </is>
      </c>
      <c r="C32" s="22" t="inlineStr">
        <is>
          <t>2.1.103</t>
        </is>
      </c>
      <c r="D32" s="118" t="inlineStr">
        <is>
          <t>Radios embarcados (30 unidades)</t>
        </is>
      </c>
      <c r="E32" s="22" t="inlineStr">
        <is>
          <t>SUMINISTRO</t>
        </is>
      </c>
      <c r="F32" s="22" t="inlineStr">
        <is>
          <t>UND</t>
        </is>
      </c>
      <c r="G32" s="22" t="n">
        <v>30</v>
      </c>
      <c r="H32" s="279" t="n">
        <v>35000000</v>
      </c>
      <c r="I32" s="279">
        <f>Tabla2[[#This Row],[VU (COP)]]*Tabla2[[#This Row],[CANTIDAD]]</f>
        <v/>
      </c>
      <c r="J32" s="279">
        <f>Tabla2[[#This Row],[TOTAL (COP)]]/$M$1</f>
        <v/>
      </c>
      <c r="K32" s="5" t="n"/>
      <c r="L32" s="5" t="n"/>
      <c r="M32" s="5" t="n"/>
    </row>
    <row r="33">
      <c r="A33" s="112" t="inlineStr">
        <is>
          <t>2. TELECOMUNICACIONES COLOCALIZADAS</t>
        </is>
      </c>
      <c r="B33" s="22" t="inlineStr">
        <is>
          <t>2.1</t>
        </is>
      </c>
      <c r="C33" s="22" t="inlineStr">
        <is>
          <t>2.1.104</t>
        </is>
      </c>
      <c r="D33" s="118" t="inlineStr">
        <is>
          <t>Radios portátiles</t>
        </is>
      </c>
      <c r="E33" s="22" t="inlineStr">
        <is>
          <t>SUMINISTRO</t>
        </is>
      </c>
      <c r="F33" s="22" t="inlineStr">
        <is>
          <t>UND</t>
        </is>
      </c>
      <c r="G33" s="22" t="n">
        <v>80</v>
      </c>
      <c r="H33" s="279" t="n">
        <v>6000000</v>
      </c>
      <c r="I33" s="279">
        <f>Tabla2[[#This Row],[VU (COP)]]*Tabla2[[#This Row],[CANTIDAD]]</f>
        <v/>
      </c>
      <c r="J33" s="279">
        <f>Tabla2[[#This Row],[TOTAL (COP)]]/$M$1</f>
        <v/>
      </c>
      <c r="K33" s="5" t="n"/>
      <c r="L33" s="5" t="n"/>
      <c r="M33" s="5" t="n"/>
    </row>
    <row r="34">
      <c r="A34" s="112" t="inlineStr">
        <is>
          <t>2. TELECOMUNICACIONES COLOCALIZADAS</t>
        </is>
      </c>
      <c r="B34" s="22" t="inlineStr">
        <is>
          <t>2.1</t>
        </is>
      </c>
      <c r="C34" s="22" t="inlineStr">
        <is>
          <t>2.1.105</t>
        </is>
      </c>
      <c r="D34" s="118" t="inlineStr">
        <is>
          <t>Sistema control centralizado</t>
        </is>
      </c>
      <c r="E34" s="22" t="inlineStr">
        <is>
          <t>SUMINISTRO</t>
        </is>
      </c>
      <c r="F34" s="22" t="inlineStr">
        <is>
          <t>UND</t>
        </is>
      </c>
      <c r="G34" s="22" t="n">
        <v>1</v>
      </c>
      <c r="H34" s="279" t="n">
        <v>120000000</v>
      </c>
      <c r="I34" s="279">
        <f>Tabla2[[#This Row],[VU (COP)]]*Tabla2[[#This Row],[CANTIDAD]]</f>
        <v/>
      </c>
      <c r="J34" s="279">
        <f>Tabla2[[#This Row],[TOTAL (COP)]]/$M$1</f>
        <v/>
      </c>
      <c r="K34" s="5" t="n"/>
      <c r="L34" s="5" t="n"/>
      <c r="M34" s="5" t="n"/>
    </row>
    <row r="35">
      <c r="A35" s="112" t="inlineStr">
        <is>
          <t>2. TELECOMUNICACIONES COLOCALIZADAS</t>
        </is>
      </c>
      <c r="B35" s="22" t="inlineStr">
        <is>
          <t>2.1</t>
        </is>
      </c>
      <c r="C35" s="22" t="inlineStr">
        <is>
          <t>2.1.106</t>
        </is>
      </c>
      <c r="D35" s="118" t="inlineStr">
        <is>
          <t>Casetas técnicas</t>
        </is>
      </c>
      <c r="E35" s="22" t="inlineStr">
        <is>
          <t>OBRA</t>
        </is>
      </c>
      <c r="F35" s="22" t="inlineStr">
        <is>
          <t>UND</t>
        </is>
      </c>
      <c r="G35" s="22" t="n">
        <v>37</v>
      </c>
      <c r="H35" s="279" t="n">
        <v>65000000</v>
      </c>
      <c r="I35" s="279">
        <f>Tabla2[[#This Row],[VU (COP)]]*Tabla2[[#This Row],[CANTIDAD]]</f>
        <v/>
      </c>
      <c r="J35" s="279">
        <f>Tabla2[[#This Row],[TOTAL (COP)]]/$M$1</f>
        <v/>
      </c>
      <c r="K35" s="5" t="n"/>
      <c r="L35" s="5" t="n"/>
      <c r="M35" s="5" t="n"/>
    </row>
    <row r="36">
      <c r="A36" s="112" t="inlineStr">
        <is>
          <t>2. TELECOMUNICACIONES COLOCALIZADAS</t>
        </is>
      </c>
      <c r="B36" s="22" t="inlineStr">
        <is>
          <t>2.1</t>
        </is>
      </c>
      <c r="C36" s="22" t="inlineStr">
        <is>
          <t>2.1.107</t>
        </is>
      </c>
      <c r="D36" s="118" t="inlineStr">
        <is>
          <t>Cimentaciones</t>
        </is>
      </c>
      <c r="E36" s="22" t="inlineStr">
        <is>
          <t>OBRA</t>
        </is>
      </c>
      <c r="F36" s="22" t="inlineStr">
        <is>
          <t>UND</t>
        </is>
      </c>
      <c r="G36" s="22" t="n">
        <v>37</v>
      </c>
      <c r="H36" s="279" t="n">
        <v>25000000</v>
      </c>
      <c r="I36" s="279">
        <f>Tabla2[[#This Row],[VU (COP)]]*Tabla2[[#This Row],[CANTIDAD]]</f>
        <v/>
      </c>
      <c r="J36" s="279">
        <f>Tabla2[[#This Row],[TOTAL (COP)]]/$M$1</f>
        <v/>
      </c>
      <c r="K36" s="5" t="n"/>
      <c r="L36" s="5" t="n"/>
      <c r="M36" s="5" t="n"/>
    </row>
    <row r="37">
      <c r="A37" s="112" t="inlineStr">
        <is>
          <t>2. TELECOMUNICACIONES COLOCALIZADAS</t>
        </is>
      </c>
      <c r="B37" s="22" t="inlineStr">
        <is>
          <t>2.1</t>
        </is>
      </c>
      <c r="C37" s="22" t="inlineStr">
        <is>
          <t>2.1.108</t>
        </is>
      </c>
      <c r="D37" s="118" t="inlineStr">
        <is>
          <t>Cerramiento perimetral</t>
        </is>
      </c>
      <c r="E37" s="22" t="inlineStr">
        <is>
          <t>OBRA</t>
        </is>
      </c>
      <c r="F37" s="22" t="inlineStr">
        <is>
          <t>UND</t>
        </is>
      </c>
      <c r="G37" s="22" t="n">
        <v>37</v>
      </c>
      <c r="H37" s="279" t="n">
        <v>30000000</v>
      </c>
      <c r="I37" s="279">
        <f>Tabla2[[#This Row],[VU (COP)]]*Tabla2[[#This Row],[CANTIDAD]]</f>
        <v/>
      </c>
      <c r="J37" s="279">
        <f>Tabla2[[#This Row],[TOTAL (COP)]]/$M$1</f>
        <v/>
      </c>
      <c r="K37" s="5" t="n"/>
      <c r="L37" s="5" t="n"/>
      <c r="M37" s="5" t="n"/>
    </row>
    <row r="38">
      <c r="A38" s="112" t="inlineStr">
        <is>
          <t>2. TELECOMUNICACIONES COLOCALIZADAS</t>
        </is>
      </c>
      <c r="B38" s="22" t="inlineStr">
        <is>
          <t>2.1</t>
        </is>
      </c>
      <c r="C38" s="22" t="inlineStr">
        <is>
          <t>2.1.109</t>
        </is>
      </c>
      <c r="D38" s="118" t="inlineStr">
        <is>
          <t>Vías de acceso</t>
        </is>
      </c>
      <c r="E38" s="22" t="inlineStr">
        <is>
          <t>OBRA</t>
        </is>
      </c>
      <c r="F38" s="22" t="inlineStr">
        <is>
          <t>UND</t>
        </is>
      </c>
      <c r="G38" s="22" t="n">
        <v>37</v>
      </c>
      <c r="H38" s="279" t="n">
        <v>25000000</v>
      </c>
      <c r="I38" s="279">
        <f>Tabla2[[#This Row],[VU (COP)]]*Tabla2[[#This Row],[CANTIDAD]]</f>
        <v/>
      </c>
      <c r="J38" s="279">
        <f>Tabla2[[#This Row],[TOTAL (COP)]]/$M$1</f>
        <v/>
      </c>
      <c r="K38" s="5" t="n"/>
      <c r="L38" s="5" t="n"/>
      <c r="M38" s="5" t="n"/>
    </row>
    <row r="39">
      <c r="A39" s="112" t="inlineStr">
        <is>
          <t>2. TELECOMUNICACIONES COLOCALIZADAS</t>
        </is>
      </c>
      <c r="B39" s="22" t="inlineStr">
        <is>
          <t>2.1</t>
        </is>
      </c>
      <c r="C39" s="22" t="inlineStr">
        <is>
          <t>2.1.110</t>
        </is>
      </c>
      <c r="D39" s="118" t="inlineStr">
        <is>
          <t>Sistemas de seguridad</t>
        </is>
      </c>
      <c r="E39" s="22" t="inlineStr">
        <is>
          <t>SUMINISTRO</t>
        </is>
      </c>
      <c r="F39" s="22" t="inlineStr">
        <is>
          <t>UND</t>
        </is>
      </c>
      <c r="G39" s="22" t="n">
        <v>37</v>
      </c>
      <c r="H39" s="279" t="n">
        <v>20000000</v>
      </c>
      <c r="I39" s="279">
        <f>Tabla2[[#This Row],[VU (COP)]]*Tabla2[[#This Row],[CANTIDAD]]</f>
        <v/>
      </c>
      <c r="J39" s="279">
        <f>Tabla2[[#This Row],[TOTAL (COP)]]/$M$1</f>
        <v/>
      </c>
      <c r="K39" s="5" t="n"/>
      <c r="L39" s="5" t="n"/>
      <c r="M39" s="5" t="n"/>
    </row>
    <row r="40">
      <c r="A40" s="112" t="inlineStr">
        <is>
          <t>2. TELECOMUNICACIONES COLOCALIZADAS</t>
        </is>
      </c>
      <c r="B40" s="22" t="inlineStr">
        <is>
          <t>2.1</t>
        </is>
      </c>
      <c r="C40" s="22" t="inlineStr">
        <is>
          <t>2.1.111</t>
        </is>
      </c>
      <c r="D40" s="118" t="inlineStr">
        <is>
          <t>Montaje e instalación</t>
        </is>
      </c>
      <c r="E40" s="22" t="inlineStr">
        <is>
          <t>OBRA</t>
        </is>
      </c>
      <c r="F40" s="22" t="inlineStr">
        <is>
          <t>UND</t>
        </is>
      </c>
      <c r="G40" s="22" t="n">
        <v>37</v>
      </c>
      <c r="H40" s="279" t="n">
        <v>15000000</v>
      </c>
      <c r="I40" s="279">
        <f>Tabla2[[#This Row],[VU (COP)]]*Tabla2[[#This Row],[CANTIDAD]]</f>
        <v/>
      </c>
      <c r="J40" s="279">
        <f>Tabla2[[#This Row],[TOTAL (COP)]]/$M$1</f>
        <v/>
      </c>
      <c r="K40" s="5" t="n"/>
      <c r="L40" s="5" t="n"/>
      <c r="M40" s="5" t="n"/>
    </row>
    <row r="41">
      <c r="A41" s="112" t="inlineStr">
        <is>
          <t>2. TELECOMUNICACIONES COLOCALIZADAS</t>
        </is>
      </c>
      <c r="B41" s="22" t="inlineStr">
        <is>
          <t>2.1</t>
        </is>
      </c>
      <c r="C41" s="22" t="inlineStr">
        <is>
          <t>2.1.112</t>
        </is>
      </c>
      <c r="D41" s="118" t="inlineStr">
        <is>
          <t>Configuración red</t>
        </is>
      </c>
      <c r="E41" s="22" t="inlineStr">
        <is>
          <t>SERVICIO</t>
        </is>
      </c>
      <c r="F41" s="22" t="inlineStr">
        <is>
          <t>UND</t>
        </is>
      </c>
      <c r="G41" s="22" t="n">
        <v>1</v>
      </c>
      <c r="H41" s="279" t="n">
        <v>200000000</v>
      </c>
      <c r="I41" s="279">
        <f>Tabla2[[#This Row],[VU (COP)]]*Tabla2[[#This Row],[CANTIDAD]]</f>
        <v/>
      </c>
      <c r="J41" s="279">
        <f>Tabla2[[#This Row],[TOTAL (COP)]]/$M$1</f>
        <v/>
      </c>
      <c r="K41" s="5" t="n"/>
      <c r="L41" s="5" t="n"/>
      <c r="M41" s="5" t="n"/>
    </row>
    <row r="42">
      <c r="A42" s="112" t="inlineStr">
        <is>
          <t>2. TELECOMUNICACIONES COLOCALIZADAS</t>
        </is>
      </c>
      <c r="B42" s="22" t="inlineStr">
        <is>
          <t>2.1</t>
        </is>
      </c>
      <c r="C42" s="22" t="inlineStr">
        <is>
          <t>2.1.113</t>
        </is>
      </c>
      <c r="D42" s="118" t="inlineStr">
        <is>
          <t>Pruebas cobertura</t>
        </is>
      </c>
      <c r="E42" s="22" t="inlineStr">
        <is>
          <t>SERVICIO</t>
        </is>
      </c>
      <c r="F42" s="22" t="inlineStr">
        <is>
          <t>UND</t>
        </is>
      </c>
      <c r="G42" s="22" t="n">
        <v>1</v>
      </c>
      <c r="H42" s="279" t="n">
        <v>150000000</v>
      </c>
      <c r="I42" s="279">
        <f>Tabla2[[#This Row],[VU (COP)]]*Tabla2[[#This Row],[CANTIDAD]]</f>
        <v/>
      </c>
      <c r="J42" s="279">
        <f>Tabla2[[#This Row],[TOTAL (COP)]]/$M$1</f>
        <v/>
      </c>
      <c r="K42" s="5" t="n"/>
      <c r="L42" s="5" t="n"/>
      <c r="M42" s="5" t="n"/>
    </row>
    <row r="43">
      <c r="A43" s="112" t="inlineStr">
        <is>
          <t>2. TELECOMUNICACIONES COLOCALIZADAS</t>
        </is>
      </c>
      <c r="B43" s="22" t="inlineStr">
        <is>
          <t>2.1</t>
        </is>
      </c>
      <c r="C43" s="22" t="inlineStr">
        <is>
          <t>2.1.114</t>
        </is>
      </c>
      <c r="D43" s="118" t="inlineStr">
        <is>
          <t>Capacitación</t>
        </is>
      </c>
      <c r="E43" s="22" t="inlineStr">
        <is>
          <t>SERVICIO</t>
        </is>
      </c>
      <c r="F43" s="22" t="inlineStr">
        <is>
          <t>UND</t>
        </is>
      </c>
      <c r="G43" s="22" t="n">
        <v>1</v>
      </c>
      <c r="H43" s="279" t="n">
        <v>100000000</v>
      </c>
      <c r="I43" s="279">
        <f>Tabla2[[#This Row],[VU (COP)]]*Tabla2[[#This Row],[CANTIDAD]]</f>
        <v/>
      </c>
      <c r="J43" s="279">
        <f>Tabla2[[#This Row],[TOTAL (COP)]]/$M$1</f>
        <v/>
      </c>
      <c r="K43" s="5" t="n"/>
      <c r="L43" s="5" t="n"/>
      <c r="M43" s="5" t="n"/>
    </row>
    <row r="44">
      <c r="A44" s="112" t="inlineStr">
        <is>
          <t>2. TELECOMUNICACIONES COLOCALIZADAS</t>
        </is>
      </c>
      <c r="B44" s="22" t="inlineStr">
        <is>
          <t>2.1</t>
        </is>
      </c>
      <c r="C44" s="22" t="inlineStr">
        <is>
          <t>2.1.115</t>
        </is>
      </c>
      <c r="D44" s="118" t="inlineStr">
        <is>
          <t>Repuestos (10%)</t>
        </is>
      </c>
      <c r="E44" s="22" t="inlineStr">
        <is>
          <t>SUMINISTRO</t>
        </is>
      </c>
      <c r="F44" s="22" t="inlineStr">
        <is>
          <t>UND</t>
        </is>
      </c>
      <c r="G44" s="22" t="n">
        <v>1</v>
      </c>
      <c r="H44" s="279" t="n">
        <v>1774000000</v>
      </c>
      <c r="I44" s="279">
        <f>Tabla2[[#This Row],[VU (COP)]]*Tabla2[[#This Row],[CANTIDAD]]</f>
        <v/>
      </c>
      <c r="J44" s="279">
        <f>Tabla2[[#This Row],[TOTAL (COP)]]/$M$1</f>
        <v/>
      </c>
      <c r="K44" s="5" t="n"/>
      <c r="L44" s="5" t="n"/>
      <c r="M44" s="5" t="n"/>
    </row>
    <row r="45" ht="39" customHeight="1">
      <c r="A45" s="112" t="inlineStr">
        <is>
          <t>2. TELECOMUNICACIONES COLOCALIZADAS</t>
        </is>
      </c>
      <c r="B45" s="22" t="inlineStr">
        <is>
          <t>2.1</t>
        </is>
      </c>
      <c r="C45" s="22" t="inlineStr">
        <is>
          <t>2.1.116</t>
        </is>
      </c>
      <c r="D45" s="118" t="inlineStr">
        <is>
          <t>Bancos baterías UPS 24h sitios remotos TETRA (BCD §10.5 — química a definir vía RFQ)</t>
        </is>
      </c>
      <c r="E45" s="22" t="inlineStr">
        <is>
          <t>SUMINISTRO</t>
        </is>
      </c>
      <c r="F45" s="22" t="inlineStr">
        <is>
          <t>UND</t>
        </is>
      </c>
      <c r="G45" s="22" t="n">
        <v>37</v>
      </c>
      <c r="H45" s="279" t="n">
        <v>50000000</v>
      </c>
      <c r="I45" s="279">
        <f>Tabla2[[#This Row],[VU (COP)]]*Tabla2[[#This Row],[CANTIDAD]]</f>
        <v/>
      </c>
      <c r="J45" s="279">
        <f>Tabla2[[#This Row],[TOTAL (COP)]]/$M$1</f>
        <v/>
      </c>
      <c r="K45" s="5" t="n"/>
      <c r="L45" s="5" t="n"/>
      <c r="M45" s="5" t="n"/>
    </row>
    <row r="46" ht="39" customHeight="1">
      <c r="A46" s="112" t="inlineStr">
        <is>
          <t>2. TELECOMUNICACIONES COLOCALIZADAS</t>
        </is>
      </c>
      <c r="B46" s="22" t="inlineStr">
        <is>
          <t>2.2</t>
        </is>
      </c>
      <c r="C46" s="22" t="inlineStr">
        <is>
          <t>2.2.100</t>
        </is>
      </c>
      <c r="D46" s="118" t="inlineStr">
        <is>
          <t>Estaciones base — red móvil broadband ferroviaria (complemento TETRA — tecnología por RFQ)</t>
        </is>
      </c>
      <c r="E46" s="22" t="inlineStr">
        <is>
          <t>SUMINISTRO</t>
        </is>
      </c>
      <c r="F46" s="22" t="inlineStr">
        <is>
          <t>UND</t>
        </is>
      </c>
      <c r="G46" s="22" t="n">
        <v>37</v>
      </c>
      <c r="H46" s="279" t="n">
        <v>45000000</v>
      </c>
      <c r="I46" s="279">
        <f>Tabla2[[#This Row],[VU (COP)]]*Tabla2[[#This Row],[CANTIDAD]]</f>
        <v/>
      </c>
      <c r="J46" s="279">
        <f>Tabla2[[#This Row],[TOTAL (COP)]]/$M$1</f>
        <v/>
      </c>
      <c r="K46" s="5" t="n"/>
      <c r="L46" s="5" t="n"/>
      <c r="M46" s="5" t="n"/>
    </row>
    <row r="47" ht="39" customHeight="1">
      <c r="A47" s="112" t="inlineStr">
        <is>
          <t>2. TELECOMUNICACIONES COLOCALIZADAS</t>
        </is>
      </c>
      <c r="B47" s="22" t="inlineStr">
        <is>
          <t>2.2</t>
        </is>
      </c>
      <c r="C47" s="22" t="inlineStr">
        <is>
          <t>2.2.101</t>
        </is>
      </c>
      <c r="D47" s="118" t="inlineStr">
        <is>
          <t>Antenas — red móvil broadband ferroviaria (complemento TETRA — tecnología por RFQ)</t>
        </is>
      </c>
      <c r="E47" s="22" t="inlineStr">
        <is>
          <t>SUMINISTRO</t>
        </is>
      </c>
      <c r="F47" s="22" t="inlineStr">
        <is>
          <t>UND</t>
        </is>
      </c>
      <c r="G47" s="22" t="n">
        <v>37</v>
      </c>
      <c r="H47" s="279" t="n">
        <v>8000000</v>
      </c>
      <c r="I47" s="279">
        <f>Tabla2[[#This Row],[VU (COP)]]*Tabla2[[#This Row],[CANTIDAD]]</f>
        <v/>
      </c>
      <c r="J47" s="279">
        <f>Tabla2[[#This Row],[TOTAL (COP)]]/$M$1</f>
        <v/>
      </c>
      <c r="K47" s="5" t="n"/>
      <c r="L47" s="5" t="n"/>
      <c r="M47" s="5" t="n"/>
    </row>
    <row r="48" ht="39" customHeight="1">
      <c r="A48" s="112" t="inlineStr">
        <is>
          <t>2. TELECOMUNICACIONES COLOCALIZADAS</t>
        </is>
      </c>
      <c r="B48" s="22" t="inlineStr">
        <is>
          <t>2.2</t>
        </is>
      </c>
      <c r="C48" s="22" t="inlineStr">
        <is>
          <t>2.2.102</t>
        </is>
      </c>
      <c r="D48" s="118" t="inlineStr">
        <is>
          <t>Radios embarcados — red móvil broadband ferroviaria (complemento TETRA — tecnología por RFQ)</t>
        </is>
      </c>
      <c r="E48" s="22" t="inlineStr">
        <is>
          <t>SUMINISTRO</t>
        </is>
      </c>
      <c r="F48" s="22" t="inlineStr">
        <is>
          <t>UND</t>
        </is>
      </c>
      <c r="G48" s="22" t="n">
        <v>30</v>
      </c>
      <c r="H48" s="279" t="n">
        <v>25000000</v>
      </c>
      <c r="I48" s="279">
        <f>Tabla2[[#This Row],[VU (COP)]]*Tabla2[[#This Row],[CANTIDAD]]</f>
        <v/>
      </c>
      <c r="J48" s="279">
        <f>Tabla2[[#This Row],[TOTAL (COP)]]/$M$1</f>
        <v/>
      </c>
      <c r="K48" s="5" t="n"/>
      <c r="L48" s="5" t="n"/>
      <c r="M48" s="5" t="n"/>
    </row>
    <row r="49" ht="26.25" customHeight="1">
      <c r="A49" s="112" t="inlineStr">
        <is>
          <t>2. TELECOMUNICACIONES COLOCALIZADAS</t>
        </is>
      </c>
      <c r="B49" s="22" t="inlineStr">
        <is>
          <t>2.2</t>
        </is>
      </c>
      <c r="C49" s="22" t="inlineStr">
        <is>
          <t>2.2.103</t>
        </is>
      </c>
      <c r="D49" s="118" t="inlineStr">
        <is>
          <t>Sistema control — red móvil broadband ferroviaria (complemento TETRA)</t>
        </is>
      </c>
      <c r="E49" s="22" t="inlineStr">
        <is>
          <t>SUMINISTRO</t>
        </is>
      </c>
      <c r="F49" s="22" t="inlineStr">
        <is>
          <t>UND</t>
        </is>
      </c>
      <c r="G49" s="22" t="n">
        <v>1</v>
      </c>
      <c r="H49" s="279" t="n">
        <v>80000000</v>
      </c>
      <c r="I49" s="279">
        <f>Tabla2[[#This Row],[VU (COP)]]*Tabla2[[#This Row],[CANTIDAD]]</f>
        <v/>
      </c>
      <c r="J49" s="279">
        <f>Tabla2[[#This Row],[TOTAL (COP)]]/$M$1</f>
        <v/>
      </c>
      <c r="K49" s="5" t="n"/>
      <c r="L49" s="5" t="n"/>
      <c r="M49" s="5" t="n"/>
    </row>
    <row r="50" ht="26.25" customHeight="1">
      <c r="A50" s="112" t="inlineStr">
        <is>
          <t>2. TELECOMUNICACIONES COLOCALIZADAS</t>
        </is>
      </c>
      <c r="B50" s="22" t="inlineStr">
        <is>
          <t>2.2</t>
        </is>
      </c>
      <c r="C50" s="22" t="inlineStr">
        <is>
          <t>2.2.104</t>
        </is>
      </c>
      <c r="D50" s="118" t="inlineStr">
        <is>
          <t>Interfaces TETRA — red móvil broadband ferroviaria</t>
        </is>
      </c>
      <c r="E50" s="22" t="inlineStr">
        <is>
          <t>SUMINISTRO</t>
        </is>
      </c>
      <c r="F50" s="22" t="inlineStr">
        <is>
          <t>UND</t>
        </is>
      </c>
      <c r="G50" s="22" t="n">
        <v>37</v>
      </c>
      <c r="H50" s="279" t="n">
        <v>5000000</v>
      </c>
      <c r="I50" s="279">
        <f>Tabla2[[#This Row],[VU (COP)]]*Tabla2[[#This Row],[CANTIDAD]]</f>
        <v/>
      </c>
      <c r="J50" s="279">
        <f>Tabla2[[#This Row],[TOTAL (COP)]]/$M$1</f>
        <v/>
      </c>
      <c r="K50" s="5" t="n"/>
      <c r="L50" s="5" t="n"/>
      <c r="M50" s="5" t="n"/>
    </row>
    <row r="51">
      <c r="A51" s="112" t="inlineStr">
        <is>
          <t>2. TELECOMUNICACIONES COLOCALIZADAS</t>
        </is>
      </c>
      <c r="B51" s="22" t="inlineStr">
        <is>
          <t>2.2</t>
        </is>
      </c>
      <c r="C51" s="22" t="inlineStr">
        <is>
          <t>2.2.105</t>
        </is>
      </c>
      <c r="D51" s="118" t="inlineStr">
        <is>
          <t>Sistema redundancia</t>
        </is>
      </c>
      <c r="E51" s="22" t="inlineStr">
        <is>
          <t>SUMINISTRO</t>
        </is>
      </c>
      <c r="F51" s="22" t="inlineStr">
        <is>
          <t>UND</t>
        </is>
      </c>
      <c r="G51" s="22" t="n">
        <v>1</v>
      </c>
      <c r="H51" s="279" t="n">
        <v>150000000</v>
      </c>
      <c r="I51" s="279">
        <f>Tabla2[[#This Row],[VU (COP)]]*Tabla2[[#This Row],[CANTIDAD]]</f>
        <v/>
      </c>
      <c r="J51" s="279">
        <f>Tabla2[[#This Row],[TOTAL (COP)]]/$M$1</f>
        <v/>
      </c>
      <c r="K51" s="5" t="n"/>
      <c r="L51" s="5" t="n"/>
      <c r="M51" s="5" t="n"/>
    </row>
    <row r="52">
      <c r="A52" s="112" t="inlineStr">
        <is>
          <t>2. TELECOMUNICACIONES COLOCALIZADAS</t>
        </is>
      </c>
      <c r="B52" s="22" t="inlineStr">
        <is>
          <t>2.2</t>
        </is>
      </c>
      <c r="C52" s="22" t="inlineStr">
        <is>
          <t>2.2.106</t>
        </is>
      </c>
      <c r="D52" s="118" t="inlineStr">
        <is>
          <t>Configuración dual</t>
        </is>
      </c>
      <c r="E52" s="22" t="inlineStr">
        <is>
          <t>SERVICIO</t>
        </is>
      </c>
      <c r="F52" s="22" t="inlineStr">
        <is>
          <t>UND</t>
        </is>
      </c>
      <c r="G52" s="22" t="n">
        <v>1</v>
      </c>
      <c r="H52" s="279" t="n">
        <v>100000000</v>
      </c>
      <c r="I52" s="279">
        <f>Tabla2[[#This Row],[VU (COP)]]*Tabla2[[#This Row],[CANTIDAD]]</f>
        <v/>
      </c>
      <c r="J52" s="279">
        <f>Tabla2[[#This Row],[TOTAL (COP)]]/$M$1</f>
        <v/>
      </c>
      <c r="K52" s="5" t="n"/>
      <c r="L52" s="5" t="n"/>
      <c r="M52" s="5" t="n"/>
    </row>
    <row r="53">
      <c r="A53" s="112" t="inlineStr">
        <is>
          <t>2. TELECOMUNICACIONES COLOCALIZADAS</t>
        </is>
      </c>
      <c r="B53" s="22" t="inlineStr">
        <is>
          <t>2.2</t>
        </is>
      </c>
      <c r="C53" s="22" t="inlineStr">
        <is>
          <t>2.2.107</t>
        </is>
      </c>
      <c r="D53" s="118" t="inlineStr">
        <is>
          <t>Pruebas integración</t>
        </is>
      </c>
      <c r="E53" s="22" t="inlineStr">
        <is>
          <t>SERVICIO</t>
        </is>
      </c>
      <c r="F53" s="22" t="inlineStr">
        <is>
          <t>UND</t>
        </is>
      </c>
      <c r="G53" s="22" t="n">
        <v>1</v>
      </c>
      <c r="H53" s="279" t="n">
        <v>80000000</v>
      </c>
      <c r="I53" s="279">
        <f>Tabla2[[#This Row],[VU (COP)]]*Tabla2[[#This Row],[CANTIDAD]]</f>
        <v/>
      </c>
      <c r="J53" s="279">
        <f>Tabla2[[#This Row],[TOTAL (COP)]]/$M$1</f>
        <v/>
      </c>
      <c r="K53" s="5" t="n"/>
      <c r="L53" s="5" t="n"/>
      <c r="M53" s="5" t="n"/>
    </row>
    <row r="54">
      <c r="A54" s="112" t="inlineStr">
        <is>
          <t>2. TELECOMUNICACIONES COLOCALIZADAS</t>
        </is>
      </c>
      <c r="B54" s="22" t="inlineStr">
        <is>
          <t>2.2</t>
        </is>
      </c>
      <c r="C54" s="22" t="inlineStr">
        <is>
          <t>2.2.108</t>
        </is>
      </c>
      <c r="D54" s="118" t="inlineStr">
        <is>
          <t>Repuestos (10%)</t>
        </is>
      </c>
      <c r="E54" s="22" t="inlineStr">
        <is>
          <t>SUMINISTRO</t>
        </is>
      </c>
      <c r="F54" s="22" t="inlineStr">
        <is>
          <t>UND</t>
        </is>
      </c>
      <c r="G54" s="22" t="n">
        <v>1</v>
      </c>
      <c r="H54" s="279" t="n">
        <v>312000000</v>
      </c>
      <c r="I54" s="279">
        <f>Tabla2[[#This Row],[VU (COP)]]*Tabla2[[#This Row],[CANTIDAD]]</f>
        <v/>
      </c>
      <c r="J54" s="279">
        <f>Tabla2[[#This Row],[TOTAL (COP)]]/$M$1</f>
        <v/>
      </c>
      <c r="K54" s="5" t="n"/>
      <c r="L54" s="5" t="n"/>
      <c r="M54" s="5" t="n"/>
    </row>
    <row r="55" ht="39" customHeight="1">
      <c r="A55" s="112" t="inlineStr">
        <is>
          <t>2. TELECOMUNICACIONES COLOCALIZADAS</t>
        </is>
      </c>
      <c r="B55" s="22" t="inlineStr">
        <is>
          <t>2.4</t>
        </is>
      </c>
      <c r="C55" s="22" t="inlineStr">
        <is>
          <t>2.3.100</t>
        </is>
      </c>
      <c r="D55" s="118" t="inlineStr">
        <is>
          <t>Cable fibra óptica monomodo 48 hilos G.652.D OSP (BCD §6.1.1 — solución homogénea 526km + 10% gasa técnica)</t>
        </is>
      </c>
      <c r="E55" s="22" t="inlineStr">
        <is>
          <t>SUMINISTRO</t>
        </is>
      </c>
      <c r="F55" s="22" t="inlineStr">
        <is>
          <t>KM</t>
        </is>
      </c>
      <c r="G55" s="22" t="n">
        <v>579</v>
      </c>
      <c r="H55" s="279" t="n">
        <v>9811013</v>
      </c>
      <c r="I55" s="279">
        <f>Tabla2[[#This Row],[VU (COP)]]*Tabla2[[#This Row],[CANTIDAD]]</f>
        <v/>
      </c>
      <c r="J55" s="279">
        <f>Tabla2[[#This Row],[TOTAL (COP)]]/$M$1</f>
        <v/>
      </c>
      <c r="K55" s="5" t="n"/>
      <c r="L55" s="5" t="n"/>
      <c r="M55" s="5" t="n"/>
    </row>
    <row r="56" ht="26.25" customHeight="1">
      <c r="A56" s="112" t="inlineStr">
        <is>
          <t>2. TELECOMUNICACIONES COLOCALIZADAS</t>
        </is>
      </c>
      <c r="B56" s="22" t="inlineStr">
        <is>
          <t>2.4</t>
        </is>
      </c>
      <c r="C56" s="22" t="inlineStr">
        <is>
          <t>2.3.101</t>
        </is>
      </c>
      <c r="D56" s="118" t="inlineStr">
        <is>
          <t>Mano de obra instalación (Tendido 526km + 10% Gasa Técnica)</t>
        </is>
      </c>
      <c r="E56" s="22" t="inlineStr">
        <is>
          <t>OBRA</t>
        </is>
      </c>
      <c r="F56" s="22" t="inlineStr">
        <is>
          <t>KM</t>
        </is>
      </c>
      <c r="G56" s="22" t="n">
        <v>579</v>
      </c>
      <c r="H56" s="279" t="n">
        <v>90188987</v>
      </c>
      <c r="I56" s="279">
        <f>Tabla2[[#This Row],[VU (COP)]]*Tabla2[[#This Row],[CANTIDAD]]</f>
        <v/>
      </c>
      <c r="J56" s="279">
        <f>Tabla2[[#This Row],[TOTAL (COP)]]/$M$1</f>
        <v/>
      </c>
      <c r="K56" s="5" t="n"/>
      <c r="L56" s="5" t="n"/>
      <c r="M56" s="5" t="n"/>
    </row>
    <row r="57">
      <c r="A57" s="112" t="inlineStr">
        <is>
          <t>2. TELECOMUNICACIONES COLOCALIZADAS</t>
        </is>
      </c>
      <c r="B57" s="22" t="inlineStr">
        <is>
          <t>2.4</t>
        </is>
      </c>
      <c r="C57" s="22" t="inlineStr">
        <is>
          <t>2.3.102</t>
        </is>
      </c>
      <c r="D57" s="118" t="inlineStr">
        <is>
          <t>Tritubo 40mm</t>
        </is>
      </c>
      <c r="E57" s="22" t="inlineStr">
        <is>
          <t>SUMINISTRO</t>
        </is>
      </c>
      <c r="F57" s="22" t="inlineStr">
        <is>
          <t>ROLLO</t>
        </is>
      </c>
      <c r="G57" s="22" t="n">
        <v>1448</v>
      </c>
      <c r="H57" s="279" t="n">
        <v>15845</v>
      </c>
      <c r="I57" s="279">
        <f>Tabla2[[#This Row],[VU (COP)]]*Tabla2[[#This Row],[CANTIDAD]]</f>
        <v/>
      </c>
      <c r="J57" s="279">
        <f>Tabla2[[#This Row],[TOTAL (COP)]]/$M$1</f>
        <v/>
      </c>
      <c r="K57" s="5" t="n"/>
      <c r="L57" s="5" t="n"/>
      <c r="M57" s="5" t="n"/>
    </row>
    <row r="58">
      <c r="A58" s="112" t="inlineStr">
        <is>
          <t>2. TELECOMUNICACIONES COLOCALIZADAS</t>
        </is>
      </c>
      <c r="B58" s="22" t="inlineStr">
        <is>
          <t>2.4</t>
        </is>
      </c>
      <c r="C58" s="22" t="inlineStr">
        <is>
          <t>2.3.103</t>
        </is>
      </c>
      <c r="D58" s="118" t="inlineStr">
        <is>
          <t>Cajas empalme 80x80</t>
        </is>
      </c>
      <c r="E58" s="22" t="inlineStr">
        <is>
          <t>SUMINISTRO</t>
        </is>
      </c>
      <c r="F58" s="22" t="inlineStr">
        <is>
          <t>UND</t>
        </is>
      </c>
      <c r="G58" s="22" t="n">
        <v>1930</v>
      </c>
      <c r="H58" s="279" t="n">
        <v>1350000</v>
      </c>
      <c r="I58" s="279">
        <f>Tabla2[[#This Row],[VU (COP)]]*Tabla2[[#This Row],[CANTIDAD]]</f>
        <v/>
      </c>
      <c r="J58" s="279">
        <f>Tabla2[[#This Row],[TOTAL (COP)]]/$M$1</f>
        <v/>
      </c>
      <c r="K58" s="5" t="n"/>
      <c r="L58" s="5" t="n"/>
      <c r="M58" s="5" t="n"/>
    </row>
    <row r="59">
      <c r="A59" s="112" t="inlineStr">
        <is>
          <t>2. TELECOMUNICACIONES COLOCALIZADAS</t>
        </is>
      </c>
      <c r="B59" s="22" t="inlineStr">
        <is>
          <t>2.4</t>
        </is>
      </c>
      <c r="C59" s="22" t="inlineStr">
        <is>
          <t>2.3.104</t>
        </is>
      </c>
      <c r="D59" s="118" t="inlineStr">
        <is>
          <t>Uniones rápidas</t>
        </is>
      </c>
      <c r="E59" s="22" t="inlineStr">
        <is>
          <t>SUMINISTRO</t>
        </is>
      </c>
      <c r="F59" s="22" t="inlineStr">
        <is>
          <t>UND</t>
        </is>
      </c>
      <c r="G59" s="22" t="n">
        <v>5790</v>
      </c>
      <c r="H59" s="279" t="n">
        <v>35000</v>
      </c>
      <c r="I59" s="279">
        <f>Tabla2[[#This Row],[VU (COP)]]*Tabla2[[#This Row],[CANTIDAD]]</f>
        <v/>
      </c>
      <c r="J59" s="279">
        <f>Tabla2[[#This Row],[TOTAL (COP)]]/$M$1</f>
        <v/>
      </c>
      <c r="K59" s="5" t="n"/>
      <c r="L59" s="5" t="n"/>
      <c r="M59" s="5" t="n"/>
    </row>
    <row r="60">
      <c r="A60" s="112" t="inlineStr">
        <is>
          <t>2. TELECOMUNICACIONES COLOCALIZADAS</t>
        </is>
      </c>
      <c r="B60" s="22" t="inlineStr">
        <is>
          <t>2.4</t>
        </is>
      </c>
      <c r="C60" s="22" t="inlineStr">
        <is>
          <t>2.3.105</t>
        </is>
      </c>
      <c r="D60" s="118" t="inlineStr">
        <is>
          <t>Fusionadoras</t>
        </is>
      </c>
      <c r="E60" s="22" t="inlineStr">
        <is>
          <t>SUMINISTRO</t>
        </is>
      </c>
      <c r="F60" s="22" t="inlineStr">
        <is>
          <t>UND</t>
        </is>
      </c>
      <c r="G60" s="22" t="n">
        <v>2</v>
      </c>
      <c r="H60" s="279" t="n">
        <v>50000000</v>
      </c>
      <c r="I60" s="279">
        <f>Tabla2[[#This Row],[VU (COP)]]*Tabla2[[#This Row],[CANTIDAD]]</f>
        <v/>
      </c>
      <c r="J60" s="279">
        <f>Tabla2[[#This Row],[TOTAL (COP)]]/$M$1</f>
        <v/>
      </c>
      <c r="K60" s="5" t="n"/>
      <c r="L60" s="5" t="n"/>
      <c r="M60" s="5" t="n"/>
    </row>
    <row r="61">
      <c r="A61" s="112" t="inlineStr">
        <is>
          <t>2. TELECOMUNICACIONES COLOCALIZADAS</t>
        </is>
      </c>
      <c r="B61" s="22" t="inlineStr">
        <is>
          <t>2.4</t>
        </is>
      </c>
      <c r="C61" s="22" t="inlineStr">
        <is>
          <t>2.3.106</t>
        </is>
      </c>
      <c r="D61" s="118" t="inlineStr">
        <is>
          <t>OTDR triwavelength (1310/1550/1625 nm)</t>
        </is>
      </c>
      <c r="E61" s="22" t="inlineStr">
        <is>
          <t>SUMINISTRO</t>
        </is>
      </c>
      <c r="F61" s="22" t="inlineStr">
        <is>
          <t>UND</t>
        </is>
      </c>
      <c r="G61" s="22" t="n">
        <v>2</v>
      </c>
      <c r="H61" s="279" t="n">
        <v>90000000</v>
      </c>
      <c r="I61" s="279">
        <f>Tabla2[[#This Row],[VU (COP)]]*Tabla2[[#This Row],[CANTIDAD]]</f>
        <v/>
      </c>
      <c r="J61" s="279">
        <f>Tabla2[[#This Row],[TOTAL (COP)]]/$M$1</f>
        <v/>
      </c>
      <c r="K61" s="5" t="n"/>
      <c r="L61" s="5" t="n"/>
      <c r="M61" s="5" t="n"/>
    </row>
    <row r="62">
      <c r="A62" s="112" t="inlineStr">
        <is>
          <t>2. TELECOMUNICACIONES COLOCALIZADAS</t>
        </is>
      </c>
      <c r="B62" s="22" t="inlineStr">
        <is>
          <t>2.4</t>
        </is>
      </c>
      <c r="C62" s="22" t="inlineStr">
        <is>
          <t>2.3.107</t>
        </is>
      </c>
      <c r="D62" s="118" t="inlineStr">
        <is>
          <t>Muflas fusionado</t>
        </is>
      </c>
      <c r="E62" s="22" t="inlineStr">
        <is>
          <t>SUMINISTRO</t>
        </is>
      </c>
      <c r="F62" s="22" t="inlineStr">
        <is>
          <t>UND</t>
        </is>
      </c>
      <c r="G62" s="22" t="n">
        <v>6800</v>
      </c>
      <c r="H62" s="279" t="n">
        <v>25000</v>
      </c>
      <c r="I62" s="279">
        <f>Tabla2[[#This Row],[VU (COP)]]*Tabla2[[#This Row],[CANTIDAD]]</f>
        <v/>
      </c>
      <c r="J62" s="279">
        <f>Tabla2[[#This Row],[TOTAL (COP)]]/$M$1</f>
        <v/>
      </c>
      <c r="K62" s="5" t="n"/>
      <c r="L62" s="5" t="n"/>
      <c r="M62" s="5" t="n"/>
    </row>
    <row r="63">
      <c r="A63" s="112" t="inlineStr">
        <is>
          <t>2. TELECOMUNICACIONES COLOCALIZADAS</t>
        </is>
      </c>
      <c r="B63" s="22" t="inlineStr">
        <is>
          <t>2.4</t>
        </is>
      </c>
      <c r="C63" s="22" t="inlineStr">
        <is>
          <t>2.3.108</t>
        </is>
      </c>
      <c r="D63" s="118" t="inlineStr">
        <is>
          <t>Insumos fusionado</t>
        </is>
      </c>
      <c r="E63" s="22" t="inlineStr">
        <is>
          <t>SUMINISTRO</t>
        </is>
      </c>
      <c r="F63" s="22" t="inlineStr">
        <is>
          <t>UND</t>
        </is>
      </c>
      <c r="G63" s="22" t="n">
        <v>6200</v>
      </c>
      <c r="H63" s="279" t="n">
        <v>15000</v>
      </c>
      <c r="I63" s="279">
        <f>Tabla2[[#This Row],[VU (COP)]]*Tabla2[[#This Row],[CANTIDAD]]</f>
        <v/>
      </c>
      <c r="J63" s="279">
        <f>Tabla2[[#This Row],[TOTAL (COP)]]/$M$1</f>
        <v/>
      </c>
      <c r="K63" s="5" t="n"/>
      <c r="L63" s="5" t="n"/>
      <c r="M63" s="5" t="n"/>
    </row>
    <row r="64" ht="26.25" customHeight="1">
      <c r="A64" s="112" t="inlineStr">
        <is>
          <t>2. TELECOMUNICACIONES COLOCALIZADAS</t>
        </is>
      </c>
      <c r="B64" s="22" t="inlineStr">
        <is>
          <t>2.4</t>
        </is>
      </c>
      <c r="C64" s="22" t="inlineStr">
        <is>
          <t>2.3.109</t>
        </is>
      </c>
      <c r="D64" s="118" t="inlineStr">
        <is>
          <t>Repuestos Estratégicos (Stock 3% Corredor)</t>
        </is>
      </c>
      <c r="E64" s="22" t="inlineStr">
        <is>
          <t>SUMINISTRO</t>
        </is>
      </c>
      <c r="F64" s="22" t="inlineStr">
        <is>
          <t>KM</t>
        </is>
      </c>
      <c r="G64" s="22" t="n">
        <v>16</v>
      </c>
      <c r="H64" s="279" t="n">
        <v>8000000</v>
      </c>
      <c r="I64" s="279">
        <f>Tabla2[[#This Row],[VU (COP)]]*Tabla2[[#This Row],[CANTIDAD]]</f>
        <v/>
      </c>
      <c r="J64" s="279">
        <f>Tabla2[[#This Row],[TOTAL (COP)]]/$M$1</f>
        <v/>
      </c>
      <c r="K64" s="5" t="n"/>
      <c r="L64" s="5" t="n"/>
      <c r="M64" s="5" t="n"/>
    </row>
    <row r="65" ht="51.75" customHeight="1">
      <c r="A65" s="112" t="inlineStr">
        <is>
          <t>2. TELECOMUNICACIONES COLOCALIZADAS</t>
        </is>
      </c>
      <c r="B65" s="22" t="inlineStr">
        <is>
          <t>2.4</t>
        </is>
      </c>
      <c r="C65" s="22" t="inlineStr">
        <is>
          <t>2.4.100</t>
        </is>
      </c>
      <c r="D65" s="118" t="inlineStr">
        <is>
          <t>Habilitación Satelital Transitoria (Punto 42) — 5 terminales LEO + 12 meses suscripción (DT-SICC-2026-042, cadena 9.12→25.4)</t>
        </is>
      </c>
      <c r="E65" s="22" t="inlineStr">
        <is>
          <t>SUMINISTRO</t>
        </is>
      </c>
      <c r="F65" s="22" t="inlineStr">
        <is>
          <t>GLB</t>
        </is>
      </c>
      <c r="G65" s="22" t="n">
        <v>1</v>
      </c>
      <c r="H65" s="279" t="n">
        <v>1200000000</v>
      </c>
      <c r="I65" s="279">
        <f>Tabla2[[#This Row],[VU (COP)]]*Tabla2[[#This Row],[CANTIDAD]]</f>
        <v/>
      </c>
      <c r="J65" s="279">
        <f>Tabla2[[#This Row],[TOTAL (COP)]]/$M$1</f>
        <v/>
      </c>
      <c r="K65" s="5" t="n"/>
      <c r="L65" s="5" t="n"/>
      <c r="M65" s="5" t="n"/>
    </row>
    <row r="66" ht="26.25" customHeight="1">
      <c r="A66" s="112" t="inlineStr">
        <is>
          <t>3. SISTEMAS ITS Y SEGURIDAD</t>
        </is>
      </c>
      <c r="B66" s="22" t="inlineStr">
        <is>
          <t>3.1</t>
        </is>
      </c>
      <c r="C66" s="22" t="inlineStr">
        <is>
          <t>3.1.100</t>
        </is>
      </c>
      <c r="D66" s="118" t="inlineStr">
        <is>
          <t>Cámaras PAN PTZ 4MP (73 unidades - cobertura completa)</t>
        </is>
      </c>
      <c r="E66" s="22" t="inlineStr">
        <is>
          <t>SUMINISTRO</t>
        </is>
      </c>
      <c r="F66" s="22" t="inlineStr">
        <is>
          <t>UND</t>
        </is>
      </c>
      <c r="G66" s="22" t="n">
        <v>73</v>
      </c>
      <c r="H66" s="279" t="n">
        <v>30000000</v>
      </c>
      <c r="I66" s="279">
        <f>Tabla2[[#This Row],[VU (COP)]]*Tabla2[[#This Row],[CANTIDAD]]</f>
        <v/>
      </c>
      <c r="J66" s="279">
        <f>Tabla2[[#This Row],[TOTAL (COP)]]/$M$1</f>
        <v/>
      </c>
      <c r="K66" s="5" t="n"/>
      <c r="L66" s="5" t="n"/>
      <c r="M66" s="5" t="n"/>
    </row>
    <row r="67">
      <c r="A67" s="112" t="inlineStr">
        <is>
          <t>3. SISTEMAS ITS Y SEGURIDAD</t>
        </is>
      </c>
      <c r="B67" s="22" t="inlineStr">
        <is>
          <t>3.1</t>
        </is>
      </c>
      <c r="C67" s="22" t="inlineStr">
        <is>
          <t>3.1.101</t>
        </is>
      </c>
      <c r="D67" s="118" t="inlineStr">
        <is>
          <t>Cámaras talleres (12 unidades)</t>
        </is>
      </c>
      <c r="E67" s="22" t="inlineStr">
        <is>
          <t>SUMINISTRO</t>
        </is>
      </c>
      <c r="F67" s="22" t="inlineStr">
        <is>
          <t>UND</t>
        </is>
      </c>
      <c r="G67" s="22" t="n">
        <v>12</v>
      </c>
      <c r="H67" s="279" t="n">
        <v>6000000</v>
      </c>
      <c r="I67" s="279">
        <f>Tabla2[[#This Row],[VU (COP)]]*Tabla2[[#This Row],[CANTIDAD]]</f>
        <v/>
      </c>
      <c r="J67" s="279">
        <f>Tabla2[[#This Row],[TOTAL (COP)]]/$M$1</f>
        <v/>
      </c>
      <c r="K67" s="5" t="n"/>
      <c r="L67" s="5" t="n"/>
      <c r="M67" s="5" t="n"/>
    </row>
    <row r="68">
      <c r="A68" s="112" t="inlineStr">
        <is>
          <t>3. SISTEMAS ITS Y SEGURIDAD</t>
        </is>
      </c>
      <c r="B68" s="22" t="inlineStr">
        <is>
          <t>3.1</t>
        </is>
      </c>
      <c r="C68" s="22" t="inlineStr">
        <is>
          <t>3.1.102</t>
        </is>
      </c>
      <c r="D68" s="118" t="inlineStr">
        <is>
          <t>Cámaras CCO (8 unidades)</t>
        </is>
      </c>
      <c r="E68" s="22" t="inlineStr">
        <is>
          <t>SUMINISTRO</t>
        </is>
      </c>
      <c r="F68" s="22" t="inlineStr">
        <is>
          <t>UND</t>
        </is>
      </c>
      <c r="G68" s="22" t="n">
        <v>8</v>
      </c>
      <c r="H68" s="279" t="n">
        <v>10000000</v>
      </c>
      <c r="I68" s="279">
        <f>Tabla2[[#This Row],[VU (COP)]]*Tabla2[[#This Row],[CANTIDAD]]</f>
        <v/>
      </c>
      <c r="J68" s="279">
        <f>Tabla2[[#This Row],[TOTAL (COP)]]/$M$1</f>
        <v/>
      </c>
      <c r="K68" s="5" t="n"/>
      <c r="L68" s="5" t="n"/>
      <c r="M68" s="5" t="n"/>
    </row>
    <row r="69">
      <c r="A69" s="112" t="inlineStr">
        <is>
          <t>3. SISTEMAS ITS Y SEGURIDAD</t>
        </is>
      </c>
      <c r="B69" s="22" t="inlineStr">
        <is>
          <t>3.1</t>
        </is>
      </c>
      <c r="C69" s="22" t="inlineStr">
        <is>
          <t>3.1.103</t>
        </is>
      </c>
      <c r="D69" s="118" t="inlineStr">
        <is>
          <t>Cámaras estaciones (5 unidades)</t>
        </is>
      </c>
      <c r="E69" s="22" t="inlineStr">
        <is>
          <t>SUMINISTRO</t>
        </is>
      </c>
      <c r="F69" s="22" t="inlineStr">
        <is>
          <t>UND</t>
        </is>
      </c>
      <c r="G69" s="22" t="n">
        <v>5</v>
      </c>
      <c r="H69" s="279" t="n">
        <v>7000000</v>
      </c>
      <c r="I69" s="279">
        <f>Tabla2[[#This Row],[VU (COP)]]*Tabla2[[#This Row],[CANTIDAD]]</f>
        <v/>
      </c>
      <c r="J69" s="279">
        <f>Tabla2[[#This Row],[TOTAL (COP)]]/$M$1</f>
        <v/>
      </c>
      <c r="K69" s="5" t="n"/>
      <c r="L69" s="5" t="n"/>
      <c r="M69" s="5" t="n"/>
    </row>
    <row r="70">
      <c r="A70" s="112" t="inlineStr">
        <is>
          <t>3. SISTEMAS ITS Y SEGURIDAD</t>
        </is>
      </c>
      <c r="B70" s="22" t="inlineStr">
        <is>
          <t>3.1</t>
        </is>
      </c>
      <c r="C70" s="22" t="inlineStr">
        <is>
          <t>3.1.104</t>
        </is>
      </c>
      <c r="D70" s="118" t="inlineStr">
        <is>
          <t>Sistema grabación</t>
        </is>
      </c>
      <c r="E70" s="22" t="inlineStr">
        <is>
          <t>SUMINISTRO</t>
        </is>
      </c>
      <c r="F70" s="22" t="inlineStr">
        <is>
          <t>UND</t>
        </is>
      </c>
      <c r="G70" s="22" t="n">
        <v>1</v>
      </c>
      <c r="H70" s="279" t="n">
        <v>150000000</v>
      </c>
      <c r="I70" s="279">
        <f>Tabla2[[#This Row],[VU (COP)]]*Tabla2[[#This Row],[CANTIDAD]]</f>
        <v/>
      </c>
      <c r="J70" s="279">
        <f>Tabla2[[#This Row],[TOTAL (COP)]]/$M$1</f>
        <v/>
      </c>
      <c r="K70" s="5" t="n"/>
      <c r="L70" s="5" t="n"/>
      <c r="M70" s="5" t="n"/>
    </row>
    <row r="71">
      <c r="A71" s="112" t="inlineStr">
        <is>
          <t>3. SISTEMAS ITS Y SEGURIDAD</t>
        </is>
      </c>
      <c r="B71" s="22" t="inlineStr">
        <is>
          <t>3.1</t>
        </is>
      </c>
      <c r="C71" s="22" t="inlineStr">
        <is>
          <t>3.1.105</t>
        </is>
      </c>
      <c r="D71" s="118" t="inlineStr">
        <is>
          <t>Servidores almacenamiento</t>
        </is>
      </c>
      <c r="E71" s="22" t="inlineStr">
        <is>
          <t>SUMINISTRO</t>
        </is>
      </c>
      <c r="F71" s="22" t="inlineStr">
        <is>
          <t>UND</t>
        </is>
      </c>
      <c r="G71" s="22" t="n">
        <v>2</v>
      </c>
      <c r="H71" s="279" t="n">
        <v>80000000</v>
      </c>
      <c r="I71" s="279">
        <f>Tabla2[[#This Row],[VU (COP)]]*Tabla2[[#This Row],[CANTIDAD]]</f>
        <v/>
      </c>
      <c r="J71" s="279">
        <f>Tabla2[[#This Row],[TOTAL (COP)]]/$M$1</f>
        <v/>
      </c>
      <c r="K71" s="5" t="n"/>
      <c r="L71" s="5" t="n"/>
      <c r="M71" s="5" t="n"/>
    </row>
    <row r="72">
      <c r="A72" s="112" t="inlineStr">
        <is>
          <t>3. SISTEMAS ITS Y SEGURIDAD</t>
        </is>
      </c>
      <c r="B72" s="22" t="inlineStr">
        <is>
          <t>3.1</t>
        </is>
      </c>
      <c r="C72" s="22" t="inlineStr">
        <is>
          <t>3.1.106</t>
        </is>
      </c>
      <c r="D72" s="118" t="inlineStr">
        <is>
          <t>Software análisis</t>
        </is>
      </c>
      <c r="E72" s="22" t="inlineStr">
        <is>
          <t>SUMINISTRO</t>
        </is>
      </c>
      <c r="F72" s="22" t="inlineStr">
        <is>
          <t>UND</t>
        </is>
      </c>
      <c r="G72" s="22" t="n">
        <v>1</v>
      </c>
      <c r="H72" s="279" t="n">
        <v>120000000</v>
      </c>
      <c r="I72" s="279">
        <f>Tabla2[[#This Row],[VU (COP)]]*Tabla2[[#This Row],[CANTIDAD]]</f>
        <v/>
      </c>
      <c r="J72" s="279">
        <f>Tabla2[[#This Row],[TOTAL (COP)]]/$M$1</f>
        <v/>
      </c>
      <c r="K72" s="5" t="n"/>
      <c r="L72" s="5" t="n"/>
      <c r="M72" s="5" t="n"/>
    </row>
    <row r="73">
      <c r="A73" s="112" t="inlineStr">
        <is>
          <t>3. SISTEMAS ITS Y SEGURIDAD</t>
        </is>
      </c>
      <c r="B73" s="22" t="inlineStr">
        <is>
          <t>3.1</t>
        </is>
      </c>
      <c r="C73" s="22" t="inlineStr">
        <is>
          <t>3.1.107</t>
        </is>
      </c>
      <c r="D73" s="118" t="inlineStr">
        <is>
          <t>Monitores CCO</t>
        </is>
      </c>
      <c r="E73" s="22" t="inlineStr">
        <is>
          <t>SUMINISTRO</t>
        </is>
      </c>
      <c r="F73" s="22" t="inlineStr">
        <is>
          <t>UND</t>
        </is>
      </c>
      <c r="G73" s="22" t="n">
        <v>8</v>
      </c>
      <c r="H73" s="279" t="n">
        <v>15000000</v>
      </c>
      <c r="I73" s="279">
        <f>Tabla2[[#This Row],[VU (COP)]]*Tabla2[[#This Row],[CANTIDAD]]</f>
        <v/>
      </c>
      <c r="J73" s="279">
        <f>Tabla2[[#This Row],[TOTAL (COP)]]/$M$1</f>
        <v/>
      </c>
      <c r="K73" s="5" t="n"/>
      <c r="L73" s="5" t="n"/>
      <c r="M73" s="5" t="n"/>
    </row>
    <row r="74">
      <c r="A74" s="112" t="inlineStr">
        <is>
          <t>3. SISTEMAS ITS Y SEGURIDAD</t>
        </is>
      </c>
      <c r="B74" s="22" t="inlineStr">
        <is>
          <t>3.1</t>
        </is>
      </c>
      <c r="C74" s="22" t="inlineStr">
        <is>
          <t>3.1.108</t>
        </is>
      </c>
      <c r="D74" s="118" t="inlineStr">
        <is>
          <t>Instalación y configuración</t>
        </is>
      </c>
      <c r="E74" s="22" t="inlineStr">
        <is>
          <t>SERVICIO</t>
        </is>
      </c>
      <c r="F74" s="22" t="inlineStr">
        <is>
          <t>UND</t>
        </is>
      </c>
      <c r="G74" s="22" t="n">
        <v>73</v>
      </c>
      <c r="H74" s="279" t="n">
        <v>2000000</v>
      </c>
      <c r="I74" s="279">
        <f>Tabla2[[#This Row],[VU (COP)]]*Tabla2[[#This Row],[CANTIDAD]]</f>
        <v/>
      </c>
      <c r="J74" s="279">
        <f>Tabla2[[#This Row],[TOTAL (COP)]]/$M$1</f>
        <v/>
      </c>
      <c r="K74" s="5" t="n"/>
      <c r="L74" s="5" t="n"/>
      <c r="M74" s="5" t="n"/>
    </row>
    <row r="75">
      <c r="A75" s="112" t="inlineStr">
        <is>
          <t>3. SISTEMAS ITS Y SEGURIDAD</t>
        </is>
      </c>
      <c r="B75" s="22" t="inlineStr">
        <is>
          <t>3.1</t>
        </is>
      </c>
      <c r="C75" s="22" t="inlineStr">
        <is>
          <t>3.1.109</t>
        </is>
      </c>
      <c r="D75" s="118" t="inlineStr">
        <is>
          <t>Repuestos (10%)</t>
        </is>
      </c>
      <c r="E75" s="22" t="inlineStr">
        <is>
          <t>SUMINISTRO</t>
        </is>
      </c>
      <c r="F75" s="22" t="inlineStr">
        <is>
          <t>UND</t>
        </is>
      </c>
      <c r="G75" s="22" t="n">
        <v>1</v>
      </c>
      <c r="H75" s="279" t="n">
        <v>307300000</v>
      </c>
      <c r="I75" s="279">
        <f>Tabla2[[#This Row],[VU (COP)]]*Tabla2[[#This Row],[CANTIDAD]]</f>
        <v/>
      </c>
      <c r="J75" s="279">
        <f>Tabla2[[#This Row],[TOTAL (COP)]]/$M$1</f>
        <v/>
      </c>
      <c r="K75" s="5" t="n"/>
      <c r="L75" s="5" t="n"/>
      <c r="M75" s="5" t="n"/>
    </row>
    <row r="76" ht="26.25" customHeight="1">
      <c r="A76" s="112" t="inlineStr">
        <is>
          <t>3. SISTEMAS ITS Y SEGURIDAD</t>
        </is>
      </c>
      <c r="B76" s="22" t="inlineStr">
        <is>
          <t>3.2</t>
        </is>
      </c>
      <c r="C76" s="22" t="inlineStr">
        <is>
          <t>3.2.100</t>
        </is>
      </c>
      <c r="D76" s="118" t="inlineStr">
        <is>
          <t>Lectores RFID control accesos (ISO 14443, IP65/IK10)</t>
        </is>
      </c>
      <c r="E76" s="22" t="inlineStr">
        <is>
          <t>SUMINISTRO</t>
        </is>
      </c>
      <c r="F76" s="22" t="inlineStr">
        <is>
          <t>UND</t>
        </is>
      </c>
      <c r="G76" s="22" t="n">
        <v>100</v>
      </c>
      <c r="H76" s="279" t="n">
        <v>3000000</v>
      </c>
      <c r="I76" s="279">
        <f>Tabla2[[#This Row],[VU (COP)]]*Tabla2[[#This Row],[CANTIDAD]]</f>
        <v/>
      </c>
      <c r="J76" s="279">
        <f>Tabla2[[#This Row],[TOTAL (COP)]]/$M$1</f>
        <v/>
      </c>
      <c r="K76" s="5" t="n"/>
      <c r="L76" s="5" t="n"/>
      <c r="M76" s="5" t="n"/>
    </row>
    <row r="77">
      <c r="A77" s="112" t="inlineStr">
        <is>
          <t>3. SISTEMAS ITS Y SEGURIDAD</t>
        </is>
      </c>
      <c r="B77" s="22" t="inlineStr">
        <is>
          <t>3.2</t>
        </is>
      </c>
      <c r="C77" s="22" t="inlineStr">
        <is>
          <t>3.2.101</t>
        </is>
      </c>
      <c r="D77" s="118" t="inlineStr">
        <is>
          <t>Tarjetas RFID</t>
        </is>
      </c>
      <c r="E77" s="22" t="inlineStr">
        <is>
          <t>SUMINISTRO</t>
        </is>
      </c>
      <c r="F77" s="22" t="inlineStr">
        <is>
          <t>UND</t>
        </is>
      </c>
      <c r="G77" s="22" t="n">
        <v>1000</v>
      </c>
      <c r="H77" s="279" t="n">
        <v>25000</v>
      </c>
      <c r="I77" s="279">
        <f>Tabla2[[#This Row],[VU (COP)]]*Tabla2[[#This Row],[CANTIDAD]]</f>
        <v/>
      </c>
      <c r="J77" s="279">
        <f>Tabla2[[#This Row],[TOTAL (COP)]]/$M$1</f>
        <v/>
      </c>
      <c r="K77" s="5" t="n"/>
      <c r="L77" s="5" t="n"/>
      <c r="M77" s="5" t="n"/>
    </row>
    <row r="78">
      <c r="A78" s="112" t="inlineStr">
        <is>
          <t>3. SISTEMAS ITS Y SEGURIDAD</t>
        </is>
      </c>
      <c r="B78" s="22" t="inlineStr">
        <is>
          <t>3.2</t>
        </is>
      </c>
      <c r="C78" s="22" t="inlineStr">
        <is>
          <t>3.2.102</t>
        </is>
      </c>
      <c r="D78" s="118" t="inlineStr">
        <is>
          <t>Sistema biométrico</t>
        </is>
      </c>
      <c r="E78" s="22" t="inlineStr">
        <is>
          <t>SUMINISTRO</t>
        </is>
      </c>
      <c r="F78" s="22" t="inlineStr">
        <is>
          <t>UND</t>
        </is>
      </c>
      <c r="G78" s="22" t="n">
        <v>5</v>
      </c>
      <c r="H78" s="279" t="n">
        <v>50000000</v>
      </c>
      <c r="I78" s="279">
        <f>Tabla2[[#This Row],[VU (COP)]]*Tabla2[[#This Row],[CANTIDAD]]</f>
        <v/>
      </c>
      <c r="J78" s="279">
        <f>Tabla2[[#This Row],[TOTAL (COP)]]/$M$1</f>
        <v/>
      </c>
      <c r="K78" s="5" t="n"/>
      <c r="L78" s="5" t="n"/>
      <c r="M78" s="5" t="n"/>
    </row>
    <row r="79">
      <c r="A79" s="112" t="inlineStr">
        <is>
          <t>3. SISTEMAS ITS Y SEGURIDAD</t>
        </is>
      </c>
      <c r="B79" s="22" t="inlineStr">
        <is>
          <t>3.2</t>
        </is>
      </c>
      <c r="C79" s="22" t="inlineStr">
        <is>
          <t>3.2.103</t>
        </is>
      </c>
      <c r="D79" s="118" t="inlineStr">
        <is>
          <t>Software control accesos</t>
        </is>
      </c>
      <c r="E79" s="22" t="inlineStr">
        <is>
          <t>SUMINISTRO</t>
        </is>
      </c>
      <c r="F79" s="22" t="inlineStr">
        <is>
          <t>UND</t>
        </is>
      </c>
      <c r="G79" s="22" t="n">
        <v>1</v>
      </c>
      <c r="H79" s="279" t="n">
        <v>80000000</v>
      </c>
      <c r="I79" s="279">
        <f>Tabla2[[#This Row],[VU (COP)]]*Tabla2[[#This Row],[CANTIDAD]]</f>
        <v/>
      </c>
      <c r="J79" s="279">
        <f>Tabla2[[#This Row],[TOTAL (COP)]]/$M$1</f>
        <v/>
      </c>
      <c r="K79" s="5" t="n"/>
      <c r="L79" s="5" t="n"/>
      <c r="M79" s="5" t="n"/>
    </row>
    <row r="80">
      <c r="A80" s="112" t="inlineStr">
        <is>
          <t>3. SISTEMAS ITS Y SEGURIDAD</t>
        </is>
      </c>
      <c r="B80" s="22" t="inlineStr">
        <is>
          <t>3.2</t>
        </is>
      </c>
      <c r="C80" s="22" t="inlineStr">
        <is>
          <t>3.2.104</t>
        </is>
      </c>
      <c r="D80" s="118" t="inlineStr">
        <is>
          <t>Cerraduras electrónicas</t>
        </is>
      </c>
      <c r="E80" s="22" t="inlineStr">
        <is>
          <t>SUMINISTRO</t>
        </is>
      </c>
      <c r="F80" s="22" t="inlineStr">
        <is>
          <t>UND</t>
        </is>
      </c>
      <c r="G80" s="22" t="n">
        <v>50</v>
      </c>
      <c r="H80" s="279" t="n">
        <v>8000000</v>
      </c>
      <c r="I80" s="279">
        <f>Tabla2[[#This Row],[VU (COP)]]*Tabla2[[#This Row],[CANTIDAD]]</f>
        <v/>
      </c>
      <c r="J80" s="279">
        <f>Tabla2[[#This Row],[TOTAL (COP)]]/$M$1</f>
        <v/>
      </c>
      <c r="K80" s="5" t="n"/>
      <c r="L80" s="5" t="n"/>
      <c r="M80" s="5" t="n"/>
    </row>
    <row r="81">
      <c r="A81" s="112" t="inlineStr">
        <is>
          <t>3. SISTEMAS ITS Y SEGURIDAD</t>
        </is>
      </c>
      <c r="B81" s="22" t="inlineStr">
        <is>
          <t>3.2</t>
        </is>
      </c>
      <c r="C81" s="22" t="inlineStr">
        <is>
          <t>3.2.105</t>
        </is>
      </c>
      <c r="D81" s="118" t="inlineStr">
        <is>
          <t>Intercomunicadores</t>
        </is>
      </c>
      <c r="E81" s="22" t="inlineStr">
        <is>
          <t>SUMINISTRO</t>
        </is>
      </c>
      <c r="F81" s="22" t="inlineStr">
        <is>
          <t>UND</t>
        </is>
      </c>
      <c r="G81" s="22" t="n">
        <v>20</v>
      </c>
      <c r="H81" s="279" t="n">
        <v>15000000</v>
      </c>
      <c r="I81" s="279">
        <f>Tabla2[[#This Row],[VU (COP)]]*Tabla2[[#This Row],[CANTIDAD]]</f>
        <v/>
      </c>
      <c r="J81" s="279">
        <f>Tabla2[[#This Row],[TOTAL (COP)]]/$M$1</f>
        <v/>
      </c>
      <c r="K81" s="5" t="n"/>
      <c r="L81" s="5" t="n"/>
      <c r="M81" s="5" t="n"/>
    </row>
    <row r="82">
      <c r="A82" s="112" t="inlineStr">
        <is>
          <t>3. SISTEMAS ITS Y SEGURIDAD</t>
        </is>
      </c>
      <c r="B82" s="22" t="inlineStr">
        <is>
          <t>3.2</t>
        </is>
      </c>
      <c r="C82" s="22" t="inlineStr">
        <is>
          <t>3.2.106</t>
        </is>
      </c>
      <c r="D82" s="118" t="inlineStr">
        <is>
          <t>Instalación y configuración</t>
        </is>
      </c>
      <c r="E82" s="22" t="inlineStr">
        <is>
          <t>SERVICIO</t>
        </is>
      </c>
      <c r="F82" s="22" t="inlineStr">
        <is>
          <t>UND</t>
        </is>
      </c>
      <c r="G82" s="22" t="n">
        <v>1</v>
      </c>
      <c r="H82" s="279" t="n">
        <v>100000000</v>
      </c>
      <c r="I82" s="279">
        <f>Tabla2[[#This Row],[VU (COP)]]*Tabla2[[#This Row],[CANTIDAD]]</f>
        <v/>
      </c>
      <c r="J82" s="279">
        <f>Tabla2[[#This Row],[TOTAL (COP)]]/$M$1</f>
        <v/>
      </c>
      <c r="K82" s="5" t="n"/>
      <c r="L82" s="5" t="n"/>
      <c r="M82" s="5" t="n"/>
    </row>
    <row r="83">
      <c r="A83" s="112" t="inlineStr">
        <is>
          <t>3. SISTEMAS ITS Y SEGURIDAD</t>
        </is>
      </c>
      <c r="B83" s="22" t="inlineStr">
        <is>
          <t>3.2</t>
        </is>
      </c>
      <c r="C83" s="22" t="inlineStr">
        <is>
          <t>3.2.107</t>
        </is>
      </c>
      <c r="D83" s="118" t="inlineStr">
        <is>
          <t>Repuestos (10%)</t>
        </is>
      </c>
      <c r="E83" s="22" t="inlineStr">
        <is>
          <t>SUMINISTRO</t>
        </is>
      </c>
      <c r="F83" s="22" t="inlineStr">
        <is>
          <t>UND</t>
        </is>
      </c>
      <c r="G83" s="22" t="n">
        <v>1</v>
      </c>
      <c r="H83" s="279" t="n">
        <v>145500000</v>
      </c>
      <c r="I83" s="279">
        <f>Tabla2[[#This Row],[VU (COP)]]*Tabla2[[#This Row],[CANTIDAD]]</f>
        <v/>
      </c>
      <c r="J83" s="279">
        <f>Tabla2[[#This Row],[TOTAL (COP)]]/$M$1</f>
        <v/>
      </c>
      <c r="K83" s="5" t="n"/>
      <c r="L83" s="5" t="n"/>
      <c r="M83" s="5" t="n"/>
    </row>
    <row r="84">
      <c r="A84" s="112" t="inlineStr">
        <is>
          <t>3. SISTEMAS ITS Y SEGURIDAD</t>
        </is>
      </c>
      <c r="B84" s="22" t="inlineStr">
        <is>
          <t>3.3</t>
        </is>
      </c>
      <c r="C84" s="22" t="inlineStr">
        <is>
          <t>3.3.100</t>
        </is>
      </c>
      <c r="D84" s="118" t="inlineStr">
        <is>
          <t>Detectores humo</t>
        </is>
      </c>
      <c r="E84" s="22" t="inlineStr">
        <is>
          <t>SUMINISTRO</t>
        </is>
      </c>
      <c r="F84" s="22" t="inlineStr">
        <is>
          <t>UND</t>
        </is>
      </c>
      <c r="G84" s="22" t="n">
        <v>200</v>
      </c>
      <c r="H84" s="279" t="n">
        <v>150000</v>
      </c>
      <c r="I84" s="279">
        <f>Tabla2[[#This Row],[VU (COP)]]*Tabla2[[#This Row],[CANTIDAD]]</f>
        <v/>
      </c>
      <c r="J84" s="279">
        <f>Tabla2[[#This Row],[TOTAL (COP)]]/$M$1</f>
        <v/>
      </c>
      <c r="K84" s="5" t="n"/>
      <c r="L84" s="5" t="n"/>
      <c r="M84" s="5" t="n"/>
    </row>
    <row r="85">
      <c r="A85" s="112" t="inlineStr">
        <is>
          <t>3. SISTEMAS ITS Y SEGURIDAD</t>
        </is>
      </c>
      <c r="B85" s="22" t="inlineStr">
        <is>
          <t>3.3</t>
        </is>
      </c>
      <c r="C85" s="22" t="inlineStr">
        <is>
          <t>3.3.101</t>
        </is>
      </c>
      <c r="D85" s="118" t="inlineStr">
        <is>
          <t>Detectores temperatura</t>
        </is>
      </c>
      <c r="E85" s="22" t="inlineStr">
        <is>
          <t>SUMINISTRO</t>
        </is>
      </c>
      <c r="F85" s="22" t="inlineStr">
        <is>
          <t>UND</t>
        </is>
      </c>
      <c r="G85" s="22" t="n">
        <v>150</v>
      </c>
      <c r="H85" s="279" t="n">
        <v>200000</v>
      </c>
      <c r="I85" s="279">
        <f>Tabla2[[#This Row],[VU (COP)]]*Tabla2[[#This Row],[CANTIDAD]]</f>
        <v/>
      </c>
      <c r="J85" s="279">
        <f>Tabla2[[#This Row],[TOTAL (COP)]]/$M$1</f>
        <v/>
      </c>
      <c r="K85" s="5" t="n"/>
      <c r="L85" s="5" t="n"/>
      <c r="M85" s="5" t="n"/>
    </row>
    <row r="86">
      <c r="A86" s="112" t="inlineStr">
        <is>
          <t>3. SISTEMAS ITS Y SEGURIDAD</t>
        </is>
      </c>
      <c r="B86" s="22" t="inlineStr">
        <is>
          <t>3.3</t>
        </is>
      </c>
      <c r="C86" s="22" t="inlineStr">
        <is>
          <t>3.3.102</t>
        </is>
      </c>
      <c r="D86" s="118" t="inlineStr">
        <is>
          <t>Sistema aspersores</t>
        </is>
      </c>
      <c r="E86" s="22" t="inlineStr">
        <is>
          <t>SUMINISTRO</t>
        </is>
      </c>
      <c r="F86" s="22" t="inlineStr">
        <is>
          <t>UND</t>
        </is>
      </c>
      <c r="G86" s="22" t="n">
        <v>50</v>
      </c>
      <c r="H86" s="279" t="n">
        <v>800000</v>
      </c>
      <c r="I86" s="279">
        <f>Tabla2[[#This Row],[VU (COP)]]*Tabla2[[#This Row],[CANTIDAD]]</f>
        <v/>
      </c>
      <c r="J86" s="279">
        <f>Tabla2[[#This Row],[TOTAL (COP)]]/$M$1</f>
        <v/>
      </c>
      <c r="K86" s="5" t="n"/>
      <c r="L86" s="5" t="n"/>
      <c r="M86" s="5" t="n"/>
    </row>
    <row r="87">
      <c r="A87" s="112" t="inlineStr">
        <is>
          <t>3. SISTEMAS ITS Y SEGURIDAD</t>
        </is>
      </c>
      <c r="B87" s="22" t="inlineStr">
        <is>
          <t>3.3</t>
        </is>
      </c>
      <c r="C87" s="22" t="inlineStr">
        <is>
          <t>3.3.103</t>
        </is>
      </c>
      <c r="D87" s="118" t="inlineStr">
        <is>
          <t>Extintores</t>
        </is>
      </c>
      <c r="E87" s="22" t="inlineStr">
        <is>
          <t>SUMINISTRO</t>
        </is>
      </c>
      <c r="F87" s="22" t="inlineStr">
        <is>
          <t>UND</t>
        </is>
      </c>
      <c r="G87" s="22" t="n">
        <v>100</v>
      </c>
      <c r="H87" s="279" t="n">
        <v>500000</v>
      </c>
      <c r="I87" s="279">
        <f>Tabla2[[#This Row],[VU (COP)]]*Tabla2[[#This Row],[CANTIDAD]]</f>
        <v/>
      </c>
      <c r="J87" s="279">
        <f>Tabla2[[#This Row],[TOTAL (COP)]]/$M$1</f>
        <v/>
      </c>
      <c r="K87" s="5" t="n"/>
      <c r="L87" s="5" t="n"/>
      <c r="M87" s="5" t="n"/>
    </row>
    <row r="88">
      <c r="A88" s="112" t="inlineStr">
        <is>
          <t>3. SISTEMAS ITS Y SEGURIDAD</t>
        </is>
      </c>
      <c r="B88" s="22" t="inlineStr">
        <is>
          <t>3.3</t>
        </is>
      </c>
      <c r="C88" s="22" t="inlineStr">
        <is>
          <t>3.3.104</t>
        </is>
      </c>
      <c r="D88" s="118" t="inlineStr">
        <is>
          <t>Sistema alarma</t>
        </is>
      </c>
      <c r="E88" s="22" t="inlineStr">
        <is>
          <t>SUMINISTRO</t>
        </is>
      </c>
      <c r="F88" s="22" t="inlineStr">
        <is>
          <t>UND</t>
        </is>
      </c>
      <c r="G88" s="22" t="n">
        <v>1</v>
      </c>
      <c r="H88" s="279" t="n">
        <v>120000000</v>
      </c>
      <c r="I88" s="279">
        <f>Tabla2[[#This Row],[VU (COP)]]*Tabla2[[#This Row],[CANTIDAD]]</f>
        <v/>
      </c>
      <c r="J88" s="279">
        <f>Tabla2[[#This Row],[TOTAL (COP)]]/$M$1</f>
        <v/>
      </c>
      <c r="K88" s="5" t="n"/>
      <c r="L88" s="5" t="n"/>
      <c r="M88" s="5" t="n"/>
    </row>
    <row r="89">
      <c r="A89" s="112" t="inlineStr">
        <is>
          <t>3. SISTEMAS ITS Y SEGURIDAD</t>
        </is>
      </c>
      <c r="B89" s="22" t="inlineStr">
        <is>
          <t>3.3</t>
        </is>
      </c>
      <c r="C89" s="22" t="inlineStr">
        <is>
          <t>3.3.105</t>
        </is>
      </c>
      <c r="D89" s="118" t="inlineStr">
        <is>
          <t>Botones emergencia</t>
        </is>
      </c>
      <c r="E89" s="22" t="inlineStr">
        <is>
          <t>SUMINISTRO</t>
        </is>
      </c>
      <c r="F89" s="22" t="inlineStr">
        <is>
          <t>UND</t>
        </is>
      </c>
      <c r="G89" s="22" t="n">
        <v>30</v>
      </c>
      <c r="H89" s="279" t="n">
        <v>500000</v>
      </c>
      <c r="I89" s="279">
        <f>Tabla2[[#This Row],[VU (COP)]]*Tabla2[[#This Row],[CANTIDAD]]</f>
        <v/>
      </c>
      <c r="J89" s="279">
        <f>Tabla2[[#This Row],[TOTAL (COP)]]/$M$1</f>
        <v/>
      </c>
      <c r="K89" s="5" t="n"/>
      <c r="L89" s="5" t="n"/>
      <c r="M89" s="5" t="n"/>
    </row>
    <row r="90">
      <c r="A90" s="112" t="inlineStr">
        <is>
          <t>3. SISTEMAS ITS Y SEGURIDAD</t>
        </is>
      </c>
      <c r="B90" s="22" t="inlineStr">
        <is>
          <t>3.3</t>
        </is>
      </c>
      <c r="C90" s="22" t="inlineStr">
        <is>
          <t>3.3.106</t>
        </is>
      </c>
      <c r="D90" s="118" t="inlineStr">
        <is>
          <t>Instalación</t>
        </is>
      </c>
      <c r="E90" s="22" t="inlineStr">
        <is>
          <t>SUMINISTRO</t>
        </is>
      </c>
      <c r="F90" s="22" t="inlineStr">
        <is>
          <t>UND</t>
        </is>
      </c>
      <c r="G90" s="22" t="n">
        <v>1</v>
      </c>
      <c r="H90" s="279" t="n">
        <v>80000000</v>
      </c>
      <c r="I90" s="279">
        <f>Tabla2[[#This Row],[VU (COP)]]*Tabla2[[#This Row],[CANTIDAD]]</f>
        <v/>
      </c>
      <c r="J90" s="279">
        <f>Tabla2[[#This Row],[TOTAL (COP)]]/$M$1</f>
        <v/>
      </c>
      <c r="K90" s="5" t="n"/>
      <c r="L90" s="5" t="n"/>
      <c r="M90" s="5" t="n"/>
    </row>
    <row r="91">
      <c r="A91" s="112" t="inlineStr">
        <is>
          <t>3. SISTEMAS ITS Y SEGURIDAD</t>
        </is>
      </c>
      <c r="B91" s="22" t="inlineStr">
        <is>
          <t>3.3</t>
        </is>
      </c>
      <c r="C91" s="22" t="inlineStr">
        <is>
          <t>3.3.107</t>
        </is>
      </c>
      <c r="D91" s="118" t="inlineStr">
        <is>
          <t>Repuestos (10%)</t>
        </is>
      </c>
      <c r="E91" s="22" t="inlineStr">
        <is>
          <t>SUMINISTRO</t>
        </is>
      </c>
      <c r="F91" s="22" t="inlineStr">
        <is>
          <t>UND</t>
        </is>
      </c>
      <c r="G91" s="22" t="n">
        <v>1</v>
      </c>
      <c r="H91" s="279" t="n">
        <v>36500000</v>
      </c>
      <c r="I91" s="279">
        <f>Tabla2[[#This Row],[VU (COP)]]*Tabla2[[#This Row],[CANTIDAD]]</f>
        <v/>
      </c>
      <c r="J91" s="279">
        <f>Tabla2[[#This Row],[TOTAL (COP)]]/$M$1</f>
        <v/>
      </c>
      <c r="K91" s="5" t="n"/>
      <c r="L91" s="5" t="n"/>
      <c r="M91" s="5" t="n"/>
    </row>
    <row r="92" ht="26.25" customHeight="1">
      <c r="A92" s="112" t="inlineStr">
        <is>
          <t>4. PASOS A NIVEL</t>
        </is>
      </c>
      <c r="B92" s="22" t="inlineStr">
        <is>
          <t>4.1</t>
        </is>
      </c>
      <c r="C92" s="22" t="inlineStr">
        <is>
          <t>4.1.100</t>
        </is>
      </c>
      <c r="D92" s="118" t="inlineStr">
        <is>
          <t>Sistemas barreras automáticas SIL-3 vital (FRA Part 236 Subpart I)</t>
        </is>
      </c>
      <c r="E92" s="22" t="inlineStr">
        <is>
          <t>SUMINISTRO</t>
        </is>
      </c>
      <c r="F92" s="22" t="inlineStr">
        <is>
          <t>UND</t>
        </is>
      </c>
      <c r="G92" s="22" t="n">
        <v>9</v>
      </c>
      <c r="H92" s="279" t="n">
        <v>180000000</v>
      </c>
      <c r="I92" s="279">
        <f>Tabla2[[#This Row],[VU (COP)]]*Tabla2[[#This Row],[CANTIDAD]]</f>
        <v/>
      </c>
      <c r="J92" s="279">
        <f>Tabla2[[#This Row],[TOTAL (COP)]]/$M$1</f>
        <v/>
      </c>
      <c r="K92" s="5" t="n"/>
      <c r="L92" s="5" t="n"/>
      <c r="M92" s="5" t="n"/>
    </row>
    <row r="93">
      <c r="A93" s="112" t="inlineStr">
        <is>
          <t>4. PASOS A NIVEL</t>
        </is>
      </c>
      <c r="B93" s="22" t="inlineStr">
        <is>
          <t>4.1</t>
        </is>
      </c>
      <c r="C93" s="22" t="inlineStr">
        <is>
          <t>4.1.101</t>
        </is>
      </c>
      <c r="D93" s="118" t="inlineStr">
        <is>
          <t>Senalización LED (Res. 20243040045005)</t>
        </is>
      </c>
      <c r="E93" s="22" t="inlineStr">
        <is>
          <t>SUMINISTRO</t>
        </is>
      </c>
      <c r="F93" s="22" t="inlineStr">
        <is>
          <t>UND</t>
        </is>
      </c>
      <c r="G93" s="22" t="n">
        <v>9</v>
      </c>
      <c r="H93" s="279" t="n">
        <v>80000000</v>
      </c>
      <c r="I93" s="279">
        <f>Tabla2[[#This Row],[VU (COP)]]*Tabla2[[#This Row],[CANTIDAD]]</f>
        <v/>
      </c>
      <c r="J93" s="279">
        <f>Tabla2[[#This Row],[TOTAL (COP)]]/$M$1</f>
        <v/>
      </c>
      <c r="K93" s="5" t="n"/>
      <c r="L93" s="5" t="n"/>
      <c r="M93" s="5" t="n"/>
    </row>
    <row r="94" ht="26.25" customHeight="1">
      <c r="A94" s="112" t="inlineStr">
        <is>
          <t>4. PASOS A NIVEL</t>
        </is>
      </c>
      <c r="B94" s="22" t="inlineStr">
        <is>
          <t>4.1</t>
        </is>
      </c>
      <c r="C94" s="22" t="inlineStr">
        <is>
          <t>4.1.102</t>
        </is>
      </c>
      <c r="D94" s="118" t="inlineStr">
        <is>
          <t>Sistemas detección vehículos SIL-3 vital (FRA Part 236 Subpart I)</t>
        </is>
      </c>
      <c r="E94" s="22" t="inlineStr">
        <is>
          <t>SUMINISTRO</t>
        </is>
      </c>
      <c r="F94" s="22" t="inlineStr">
        <is>
          <t>UND</t>
        </is>
      </c>
      <c r="G94" s="22" t="n">
        <v>9</v>
      </c>
      <c r="H94" s="279" t="n">
        <v>360000000</v>
      </c>
      <c r="I94" s="279">
        <f>Tabla2[[#This Row],[VU (COP)]]*Tabla2[[#This Row],[CANTIDAD]]</f>
        <v/>
      </c>
      <c r="J94" s="279">
        <f>Tabla2[[#This Row],[TOTAL (COP)]]/$M$1</f>
        <v/>
      </c>
      <c r="K94" s="5" t="n"/>
      <c r="L94" s="5" t="n"/>
      <c r="M94" s="5" t="n"/>
    </row>
    <row r="95">
      <c r="A95" s="112" t="inlineStr">
        <is>
          <t>4. PASOS A NIVEL</t>
        </is>
      </c>
      <c r="B95" s="22" t="inlineStr">
        <is>
          <t>4.1</t>
        </is>
      </c>
      <c r="C95" s="22" t="inlineStr">
        <is>
          <t>4.1.103</t>
        </is>
      </c>
      <c r="D95" s="118" t="inlineStr">
        <is>
          <t>Sistemas comunicación</t>
        </is>
      </c>
      <c r="E95" s="22" t="inlineStr">
        <is>
          <t>SUMINISTRO</t>
        </is>
      </c>
      <c r="F95" s="22" t="inlineStr">
        <is>
          <t>UND</t>
        </is>
      </c>
      <c r="G95" s="22" t="n">
        <v>9</v>
      </c>
      <c r="H95" s="279" t="n">
        <v>60000000</v>
      </c>
      <c r="I95" s="279">
        <f>Tabla2[[#This Row],[VU (COP)]]*Tabla2[[#This Row],[CANTIDAD]]</f>
        <v/>
      </c>
      <c r="J95" s="279">
        <f>Tabla2[[#This Row],[TOTAL (COP)]]/$M$1</f>
        <v/>
      </c>
      <c r="K95" s="5" t="n"/>
      <c r="L95" s="5" t="n"/>
      <c r="M95" s="5" t="n"/>
    </row>
    <row r="96" ht="26.25" customHeight="1">
      <c r="A96" s="112" t="inlineStr">
        <is>
          <t>4. PASOS A NIVEL</t>
        </is>
      </c>
      <c r="B96" s="22" t="inlineStr">
        <is>
          <t>4.1</t>
        </is>
      </c>
      <c r="C96" s="22" t="inlineStr">
        <is>
          <t>4.1.104</t>
        </is>
      </c>
      <c r="D96" s="118" t="inlineStr">
        <is>
          <t>Sistemas emergencia SIL-3 vital (FRA Part 236 Subpart I)</t>
        </is>
      </c>
      <c r="E96" s="22" t="inlineStr">
        <is>
          <t>SUMINISTRO</t>
        </is>
      </c>
      <c r="F96" s="22" t="inlineStr">
        <is>
          <t>UND</t>
        </is>
      </c>
      <c r="G96" s="22" t="n">
        <v>9</v>
      </c>
      <c r="H96" s="279" t="n">
        <v>40000000</v>
      </c>
      <c r="I96" s="279">
        <f>Tabla2[[#This Row],[VU (COP)]]*Tabla2[[#This Row],[CANTIDAD]]</f>
        <v/>
      </c>
      <c r="J96" s="279">
        <f>Tabla2[[#This Row],[TOTAL (COP)]]/$M$1</f>
        <v/>
      </c>
      <c r="K96" s="5" t="n"/>
      <c r="L96" s="5" t="n"/>
      <c r="M96" s="5" t="n"/>
    </row>
    <row r="97">
      <c r="A97" s="112" t="inlineStr">
        <is>
          <t>4. PASOS A NIVEL</t>
        </is>
      </c>
      <c r="B97" s="22" t="inlineStr">
        <is>
          <t>4.1</t>
        </is>
      </c>
      <c r="C97" s="22" t="inlineStr">
        <is>
          <t>4.1.105</t>
        </is>
      </c>
      <c r="D97" s="118" t="inlineStr">
        <is>
          <t>Instalación y configuración</t>
        </is>
      </c>
      <c r="E97" s="22" t="inlineStr">
        <is>
          <t>SERVICIO</t>
        </is>
      </c>
      <c r="F97" s="22" t="inlineStr">
        <is>
          <t>UND</t>
        </is>
      </c>
      <c r="G97" s="22" t="n">
        <v>9</v>
      </c>
      <c r="H97" s="279" t="n">
        <v>200000000</v>
      </c>
      <c r="I97" s="279">
        <f>Tabla2[[#This Row],[VU (COP)]]*Tabla2[[#This Row],[CANTIDAD]]</f>
        <v/>
      </c>
      <c r="J97" s="279">
        <f>Tabla2[[#This Row],[TOTAL (COP)]]/$M$1</f>
        <v/>
      </c>
      <c r="K97" s="5" t="n"/>
      <c r="L97" s="5" t="n"/>
      <c r="M97" s="5" t="n"/>
    </row>
    <row r="98">
      <c r="A98" s="112" t="inlineStr">
        <is>
          <t>4. PASOS A NIVEL</t>
        </is>
      </c>
      <c r="B98" s="22" t="inlineStr">
        <is>
          <t>4.1</t>
        </is>
      </c>
      <c r="C98" s="22" t="inlineStr">
        <is>
          <t>4.1.106</t>
        </is>
      </c>
      <c r="D98" s="118" t="inlineStr">
        <is>
          <t>Repuestos (10%)</t>
        </is>
      </c>
      <c r="E98" s="22" t="inlineStr">
        <is>
          <t>SUMINISTRO</t>
        </is>
      </c>
      <c r="F98" s="22" t="inlineStr">
        <is>
          <t>UND</t>
        </is>
      </c>
      <c r="G98" s="22" t="n">
        <v>1</v>
      </c>
      <c r="H98" s="279" t="n">
        <v>828000000</v>
      </c>
      <c r="I98" s="279">
        <f>Tabla2[[#This Row],[VU (COP)]]*Tabla2[[#This Row],[CANTIDAD]]</f>
        <v/>
      </c>
      <c r="J98" s="279">
        <f>Tabla2[[#This Row],[TOTAL (COP)]]/$M$1</f>
        <v/>
      </c>
      <c r="K98" s="5" t="n"/>
      <c r="L98" s="5" t="n"/>
      <c r="M98" s="5" t="n"/>
    </row>
    <row r="99" ht="39" customHeight="1">
      <c r="A99" s="112" t="inlineStr">
        <is>
          <t>4. PASOS A NIVEL</t>
        </is>
      </c>
      <c r="B99" s="22" t="inlineStr">
        <is>
          <t>4.2</t>
        </is>
      </c>
      <c r="C99" s="22" t="inlineStr">
        <is>
          <t>4.2.100</t>
        </is>
      </c>
      <c r="D99" s="118" t="inlineStr">
        <is>
          <t>Señales Luminosas y Acústicas (SLA) — PaN Tipo B (BCD §8.2.1, NTC 4741:1999). VU pendiente RFQ COL.</t>
        </is>
      </c>
      <c r="E99" s="22" t="inlineStr">
        <is>
          <t>SUMINISTRO</t>
        </is>
      </c>
      <c r="F99" s="22" t="inlineStr">
        <is>
          <t>UND</t>
        </is>
      </c>
      <c r="G99" s="22" t="n">
        <v>15</v>
      </c>
      <c r="H99" s="279" t="n">
        <v>120000000</v>
      </c>
      <c r="I99" s="279">
        <f>Tabla2[[#This Row],[VU (COP)]]*Tabla2[[#This Row],[CANTIDAD]]</f>
        <v/>
      </c>
      <c r="J99" s="279">
        <f>Tabla2[[#This Row],[TOTAL (COP)]]/$M$1</f>
        <v/>
      </c>
      <c r="K99" s="5" t="n"/>
      <c r="L99" s="5" t="n"/>
      <c r="M99" s="5" t="n"/>
    </row>
    <row r="100" ht="26.25" customHeight="1">
      <c r="A100" s="112" t="inlineStr">
        <is>
          <t>4. PASOS A NIVEL</t>
        </is>
      </c>
      <c r="B100" s="22" t="inlineStr">
        <is>
          <t>4.2</t>
        </is>
      </c>
      <c r="C100" s="22" t="inlineStr">
        <is>
          <t>4.2.101</t>
        </is>
      </c>
      <c r="D100" s="118" t="inlineStr">
        <is>
          <t>Senalización basica (Res. 20243040045005)</t>
        </is>
      </c>
      <c r="E100" s="22" t="inlineStr">
        <is>
          <t>SUMINISTRO</t>
        </is>
      </c>
      <c r="F100" s="22" t="inlineStr">
        <is>
          <t>UND</t>
        </is>
      </c>
      <c r="G100" s="22" t="n">
        <v>15</v>
      </c>
      <c r="H100" s="279" t="n">
        <v>50000000</v>
      </c>
      <c r="I100" s="279">
        <f>Tabla2[[#This Row],[VU (COP)]]*Tabla2[[#This Row],[CANTIDAD]]</f>
        <v/>
      </c>
      <c r="J100" s="279">
        <f>Tabla2[[#This Row],[TOTAL (COP)]]/$M$1</f>
        <v/>
      </c>
      <c r="K100" s="5" t="n"/>
      <c r="L100" s="5" t="n"/>
      <c r="M100" s="5" t="n"/>
    </row>
    <row r="101">
      <c r="A101" s="112" t="inlineStr">
        <is>
          <t>4. PASOS A NIVEL</t>
        </is>
      </c>
      <c r="B101" s="22" t="inlineStr">
        <is>
          <t>4.2</t>
        </is>
      </c>
      <c r="C101" s="22" t="inlineStr">
        <is>
          <t>4.2.102</t>
        </is>
      </c>
      <c r="D101" s="118" t="inlineStr">
        <is>
          <t>Sistemas detección</t>
        </is>
      </c>
      <c r="E101" s="22" t="inlineStr">
        <is>
          <t>SUMINISTRO</t>
        </is>
      </c>
      <c r="F101" s="22" t="inlineStr">
        <is>
          <t>UND</t>
        </is>
      </c>
      <c r="G101" s="22" t="n">
        <v>15</v>
      </c>
      <c r="H101" s="279" t="n">
        <v>80000000</v>
      </c>
      <c r="I101" s="279">
        <f>Tabla2[[#This Row],[VU (COP)]]*Tabla2[[#This Row],[CANTIDAD]]</f>
        <v/>
      </c>
      <c r="J101" s="279">
        <f>Tabla2[[#This Row],[TOTAL (COP)]]/$M$1</f>
        <v/>
      </c>
      <c r="K101" s="5" t="n"/>
      <c r="L101" s="5" t="n"/>
      <c r="M101" s="5" t="n"/>
    </row>
    <row r="102">
      <c r="A102" s="112" t="inlineStr">
        <is>
          <t>4. PASOS A NIVEL</t>
        </is>
      </c>
      <c r="B102" s="22" t="inlineStr">
        <is>
          <t>4.2</t>
        </is>
      </c>
      <c r="C102" s="22" t="inlineStr">
        <is>
          <t>4.2.103</t>
        </is>
      </c>
      <c r="D102" s="118" t="inlineStr">
        <is>
          <t>Sistemas comunicación</t>
        </is>
      </c>
      <c r="E102" s="22" t="inlineStr">
        <is>
          <t>SUMINISTRO</t>
        </is>
      </c>
      <c r="F102" s="22" t="inlineStr">
        <is>
          <t>UND</t>
        </is>
      </c>
      <c r="G102" s="22" t="n">
        <v>15</v>
      </c>
      <c r="H102" s="279" t="n">
        <v>40000000</v>
      </c>
      <c r="I102" s="279">
        <f>Tabla2[[#This Row],[VU (COP)]]*Tabla2[[#This Row],[CANTIDAD]]</f>
        <v/>
      </c>
      <c r="J102" s="279">
        <f>Tabla2[[#This Row],[TOTAL (COP)]]/$M$1</f>
        <v/>
      </c>
      <c r="K102" s="5" t="n"/>
      <c r="L102" s="5" t="n"/>
      <c r="M102" s="5" t="n"/>
    </row>
    <row r="103">
      <c r="A103" s="112" t="inlineStr">
        <is>
          <t>4. PASOS A NIVEL</t>
        </is>
      </c>
      <c r="B103" s="22" t="inlineStr">
        <is>
          <t>4.2</t>
        </is>
      </c>
      <c r="C103" s="22" t="inlineStr">
        <is>
          <t>4.2.104</t>
        </is>
      </c>
      <c r="D103" s="118" t="inlineStr">
        <is>
          <t>Instalación</t>
        </is>
      </c>
      <c r="E103" s="22" t="inlineStr">
        <is>
          <t>SUMINISTRO</t>
        </is>
      </c>
      <c r="F103" s="22" t="inlineStr">
        <is>
          <t>UND</t>
        </is>
      </c>
      <c r="G103" s="22" t="n">
        <v>15</v>
      </c>
      <c r="H103" s="279" t="n">
        <v>60000000</v>
      </c>
      <c r="I103" s="279">
        <f>Tabla2[[#This Row],[VU (COP)]]*Tabla2[[#This Row],[CANTIDAD]]</f>
        <v/>
      </c>
      <c r="J103" s="279">
        <f>Tabla2[[#This Row],[TOTAL (COP)]]/$M$1</f>
        <v/>
      </c>
      <c r="K103" s="5" t="n"/>
      <c r="L103" s="5" t="n"/>
      <c r="M103" s="5" t="n"/>
    </row>
    <row r="104">
      <c r="A104" s="112" t="inlineStr">
        <is>
          <t>4. PASOS A NIVEL</t>
        </is>
      </c>
      <c r="B104" s="22" t="inlineStr">
        <is>
          <t>4.2</t>
        </is>
      </c>
      <c r="C104" s="22" t="inlineStr">
        <is>
          <t>4.2.105</t>
        </is>
      </c>
      <c r="D104" s="118" t="inlineStr">
        <is>
          <t>Repuestos (10%)</t>
        </is>
      </c>
      <c r="E104" s="22" t="inlineStr">
        <is>
          <t>SUMINISTRO</t>
        </is>
      </c>
      <c r="F104" s="22" t="inlineStr">
        <is>
          <t>UND</t>
        </is>
      </c>
      <c r="G104" s="22" t="n">
        <v>1</v>
      </c>
      <c r="H104" s="279" t="n">
        <v>525000000</v>
      </c>
      <c r="I104" s="279">
        <f>Tabla2[[#This Row],[VU (COP)]]*Tabla2[[#This Row],[CANTIDAD]]</f>
        <v/>
      </c>
      <c r="J104" s="279">
        <f>Tabla2[[#This Row],[TOTAL (COP)]]/$M$1</f>
        <v/>
      </c>
      <c r="K104" s="5" t="n"/>
      <c r="L104" s="5" t="n"/>
      <c r="M104" s="5" t="n"/>
    </row>
    <row r="105" ht="26.25" customHeight="1">
      <c r="A105" s="112" t="inlineStr">
        <is>
          <t>4. PASOS A NIVEL</t>
        </is>
      </c>
      <c r="B105" s="22" t="inlineStr">
        <is>
          <t>4.3</t>
        </is>
      </c>
      <c r="C105" s="22" t="inlineStr">
        <is>
          <t>4.3.100</t>
        </is>
      </c>
      <c r="D105" s="118" t="inlineStr">
        <is>
          <t>Senalización basica (Manual 2024 / Res. 20243040045005)</t>
        </is>
      </c>
      <c r="E105" s="22" t="inlineStr">
        <is>
          <t>SUMINISTRO</t>
        </is>
      </c>
      <c r="F105" s="22" t="inlineStr">
        <is>
          <t>UND</t>
        </is>
      </c>
      <c r="G105" s="22" t="n">
        <v>122</v>
      </c>
      <c r="H105" s="279" t="n">
        <v>25000000</v>
      </c>
      <c r="I105" s="279">
        <f>Tabla2[[#This Row],[VU (COP)]]*Tabla2[[#This Row],[CANTIDAD]]</f>
        <v/>
      </c>
      <c r="J105" s="279">
        <f>Tabla2[[#This Row],[TOTAL (COP)]]/$M$1</f>
        <v/>
      </c>
      <c r="K105" s="5" t="n"/>
      <c r="L105" s="5" t="n"/>
      <c r="M105" s="5" t="n"/>
    </row>
    <row r="106">
      <c r="A106" s="112" t="inlineStr">
        <is>
          <t>4. PASOS A NIVEL</t>
        </is>
      </c>
      <c r="B106" s="22" t="inlineStr">
        <is>
          <t>4.3</t>
        </is>
      </c>
      <c r="C106" s="22" t="inlineStr">
        <is>
          <t>4.3.103</t>
        </is>
      </c>
      <c r="D106" s="118" t="inlineStr">
        <is>
          <t>Repuestos (10%)</t>
        </is>
      </c>
      <c r="E106" s="22" t="inlineStr">
        <is>
          <t>SUMINISTRO</t>
        </is>
      </c>
      <c r="F106" s="22" t="inlineStr">
        <is>
          <t>UND</t>
        </is>
      </c>
      <c r="G106" s="22" t="n">
        <v>1</v>
      </c>
      <c r="H106" s="279" t="n">
        <v>305000000</v>
      </c>
      <c r="I106" s="279">
        <f>Tabla2[[#This Row],[VU (COP)]]*Tabla2[[#This Row],[CANTIDAD]]</f>
        <v/>
      </c>
      <c r="J106" s="279">
        <f>Tabla2[[#This Row],[TOTAL (COP)]]/$M$1</f>
        <v/>
      </c>
      <c r="K106" s="5" t="n"/>
      <c r="L106" s="5" t="n"/>
      <c r="M106" s="5" t="n"/>
    </row>
    <row r="107">
      <c r="A107" s="112" t="inlineStr">
        <is>
          <t>5. CENTRO DE CONTROL OPERACIONAL</t>
        </is>
      </c>
      <c r="B107" s="22" t="inlineStr">
        <is>
          <t>5.1</t>
        </is>
      </c>
      <c r="C107" s="22" t="inlineStr">
        <is>
          <t>5.1.100</t>
        </is>
      </c>
      <c r="D107" s="118" t="inlineStr">
        <is>
          <t>Construcción edificio</t>
        </is>
      </c>
      <c r="E107" s="22" t="inlineStr">
        <is>
          <t>SUMINISTRO</t>
        </is>
      </c>
      <c r="F107" s="22" t="inlineStr">
        <is>
          <t>UND</t>
        </is>
      </c>
      <c r="G107" s="22" t="n">
        <v>1</v>
      </c>
      <c r="H107" s="279" t="n">
        <v>2500000000</v>
      </c>
      <c r="I107" s="279">
        <f>Tabla2[[#This Row],[VU (COP)]]*Tabla2[[#This Row],[CANTIDAD]]</f>
        <v/>
      </c>
      <c r="J107" s="279">
        <f>Tabla2[[#This Row],[TOTAL (COP)]]/$M$1</f>
        <v/>
      </c>
      <c r="K107" s="5" t="n"/>
      <c r="L107" s="5" t="n"/>
      <c r="M107" s="5" t="n"/>
    </row>
    <row r="108">
      <c r="A108" s="112" t="inlineStr">
        <is>
          <t>5. CENTRO DE CONTROL OPERACIONAL</t>
        </is>
      </c>
      <c r="B108" s="22" t="inlineStr">
        <is>
          <t>5.1</t>
        </is>
      </c>
      <c r="C108" s="22" t="inlineStr">
        <is>
          <t>5.1.101</t>
        </is>
      </c>
      <c r="D108" s="118" t="inlineStr">
        <is>
          <t>Sala de control</t>
        </is>
      </c>
      <c r="E108" s="22" t="inlineStr">
        <is>
          <t>SUMINISTRO</t>
        </is>
      </c>
      <c r="F108" s="22" t="inlineStr">
        <is>
          <t>UND</t>
        </is>
      </c>
      <c r="G108" s="22" t="n">
        <v>1</v>
      </c>
      <c r="H108" s="279" t="n">
        <v>800000000</v>
      </c>
      <c r="I108" s="279">
        <f>Tabla2[[#This Row],[VU (COP)]]*Tabla2[[#This Row],[CANTIDAD]]</f>
        <v/>
      </c>
      <c r="J108" s="279">
        <f>Tabla2[[#This Row],[TOTAL (COP)]]/$M$1</f>
        <v/>
      </c>
      <c r="K108" s="5" t="n"/>
      <c r="L108" s="5" t="n"/>
      <c r="M108" s="5" t="n"/>
    </row>
    <row r="109">
      <c r="A109" s="112" t="inlineStr">
        <is>
          <t>5. CENTRO DE CONTROL OPERACIONAL</t>
        </is>
      </c>
      <c r="B109" s="22" t="inlineStr">
        <is>
          <t>5.1</t>
        </is>
      </c>
      <c r="C109" s="22" t="inlineStr">
        <is>
          <t>5.1.102</t>
        </is>
      </c>
      <c r="D109" s="118" t="inlineStr">
        <is>
          <t>Sistemas HVAC</t>
        </is>
      </c>
      <c r="E109" s="22" t="inlineStr">
        <is>
          <t>SUMINISTRO</t>
        </is>
      </c>
      <c r="F109" s="22" t="inlineStr">
        <is>
          <t>UND</t>
        </is>
      </c>
      <c r="G109" s="22" t="n">
        <v>1</v>
      </c>
      <c r="H109" s="279" t="n">
        <v>300000000</v>
      </c>
      <c r="I109" s="279">
        <f>Tabla2[[#This Row],[VU (COP)]]*Tabla2[[#This Row],[CANTIDAD]]</f>
        <v/>
      </c>
      <c r="J109" s="279">
        <f>Tabla2[[#This Row],[TOTAL (COP)]]/$M$1</f>
        <v/>
      </c>
      <c r="K109" s="5" t="n"/>
      <c r="L109" s="5" t="n"/>
      <c r="M109" s="5" t="n"/>
    </row>
    <row r="110">
      <c r="A110" s="112" t="inlineStr">
        <is>
          <t>5. CENTRO DE CONTROL OPERACIONAL</t>
        </is>
      </c>
      <c r="B110" s="22" t="inlineStr">
        <is>
          <t>5.1</t>
        </is>
      </c>
      <c r="C110" s="22" t="inlineStr">
        <is>
          <t>5.1.103</t>
        </is>
      </c>
      <c r="D110" s="118" t="inlineStr">
        <is>
          <t>Sistemas eléctricos</t>
        </is>
      </c>
      <c r="E110" s="22" t="inlineStr">
        <is>
          <t>SUMINISTRO</t>
        </is>
      </c>
      <c r="F110" s="22" t="inlineStr">
        <is>
          <t>UND</t>
        </is>
      </c>
      <c r="G110" s="22" t="n">
        <v>1</v>
      </c>
      <c r="H110" s="279" t="n">
        <v>400000000</v>
      </c>
      <c r="I110" s="279">
        <f>Tabla2[[#This Row],[VU (COP)]]*Tabla2[[#This Row],[CANTIDAD]]</f>
        <v/>
      </c>
      <c r="J110" s="279">
        <f>Tabla2[[#This Row],[TOTAL (COP)]]/$M$1</f>
        <v/>
      </c>
      <c r="K110" s="5" t="n"/>
      <c r="L110" s="5" t="n"/>
      <c r="M110" s="5" t="n"/>
    </row>
    <row r="111">
      <c r="A111" s="112" t="inlineStr">
        <is>
          <t>5. CENTRO DE CONTROL OPERACIONAL</t>
        </is>
      </c>
      <c r="B111" s="22" t="inlineStr">
        <is>
          <t>5.1</t>
        </is>
      </c>
      <c r="C111" s="22" t="inlineStr">
        <is>
          <t>5.1.104</t>
        </is>
      </c>
      <c r="D111" s="118" t="inlineStr">
        <is>
          <t>Sistemas seguridad</t>
        </is>
      </c>
      <c r="E111" s="22" t="inlineStr">
        <is>
          <t>SUMINISTRO</t>
        </is>
      </c>
      <c r="F111" s="22" t="inlineStr">
        <is>
          <t>UND</t>
        </is>
      </c>
      <c r="G111" s="22" t="n">
        <v>1</v>
      </c>
      <c r="H111" s="279" t="n">
        <v>200000000</v>
      </c>
      <c r="I111" s="279">
        <f>Tabla2[[#This Row],[VU (COP)]]*Tabla2[[#This Row],[CANTIDAD]]</f>
        <v/>
      </c>
      <c r="J111" s="279">
        <f>Tabla2[[#This Row],[TOTAL (COP)]]/$M$1</f>
        <v/>
      </c>
      <c r="K111" s="5" t="n"/>
      <c r="L111" s="5" t="n"/>
      <c r="M111" s="5" t="n"/>
    </row>
    <row r="112">
      <c r="A112" s="112" t="inlineStr">
        <is>
          <t>5. CENTRO DE CONTROL OPERACIONAL</t>
        </is>
      </c>
      <c r="B112" s="22" t="inlineStr">
        <is>
          <t>5.1</t>
        </is>
      </c>
      <c r="C112" s="22" t="inlineStr">
        <is>
          <t>5.1.105</t>
        </is>
      </c>
      <c r="D112" s="118" t="inlineStr">
        <is>
          <t>Sistemas comunicaciones</t>
        </is>
      </c>
      <c r="E112" s="22" t="inlineStr">
        <is>
          <t>SUMINISTRO</t>
        </is>
      </c>
      <c r="F112" s="22" t="inlineStr">
        <is>
          <t>UND</t>
        </is>
      </c>
      <c r="G112" s="22" t="n">
        <v>1</v>
      </c>
      <c r="H112" s="279" t="n">
        <v>150000000</v>
      </c>
      <c r="I112" s="279">
        <f>Tabla2[[#This Row],[VU (COP)]]*Tabla2[[#This Row],[CANTIDAD]]</f>
        <v/>
      </c>
      <c r="J112" s="279">
        <f>Tabla2[[#This Row],[TOTAL (COP)]]/$M$1</f>
        <v/>
      </c>
      <c r="K112" s="5" t="n"/>
      <c r="L112" s="5" t="n"/>
      <c r="M112" s="5" t="n"/>
    </row>
    <row r="113">
      <c r="A113" s="112" t="inlineStr">
        <is>
          <t>5. CENTRO DE CONTROL OPERACIONAL</t>
        </is>
      </c>
      <c r="B113" s="22" t="inlineStr">
        <is>
          <t>5.2</t>
        </is>
      </c>
      <c r="C113" s="22" t="inlineStr">
        <is>
          <t>5.2.100</t>
        </is>
      </c>
      <c r="D113" s="118" t="inlineStr">
        <is>
          <t>Consolas operadores</t>
        </is>
      </c>
      <c r="E113" s="22" t="inlineStr">
        <is>
          <t>SUMINISTRO</t>
        </is>
      </c>
      <c r="F113" s="22" t="inlineStr">
        <is>
          <t>UND</t>
        </is>
      </c>
      <c r="G113" s="22" t="n">
        <v>8</v>
      </c>
      <c r="H113" s="279" t="n">
        <v>120000000</v>
      </c>
      <c r="I113" s="279">
        <f>Tabla2[[#This Row],[VU (COP)]]*Tabla2[[#This Row],[CANTIDAD]]</f>
        <v/>
      </c>
      <c r="J113" s="279">
        <f>Tabla2[[#This Row],[TOTAL (COP)]]/$M$1</f>
        <v/>
      </c>
      <c r="K113" s="5" t="n"/>
      <c r="L113" s="5" t="n"/>
      <c r="M113" s="5" t="n"/>
    </row>
    <row r="114">
      <c r="A114" s="112" t="inlineStr">
        <is>
          <t>5. CENTRO DE CONTROL OPERACIONAL</t>
        </is>
      </c>
      <c r="B114" s="22" t="inlineStr">
        <is>
          <t>5.2</t>
        </is>
      </c>
      <c r="C114" s="22" t="inlineStr">
        <is>
          <t>5.2.101</t>
        </is>
      </c>
      <c r="D114" s="118" t="inlineStr">
        <is>
          <t>Pantallas de video</t>
        </is>
      </c>
      <c r="E114" s="22" t="inlineStr">
        <is>
          <t>SUMINISTRO</t>
        </is>
      </c>
      <c r="F114" s="22" t="inlineStr">
        <is>
          <t>UND</t>
        </is>
      </c>
      <c r="G114" s="22" t="n">
        <v>16</v>
      </c>
      <c r="H114" s="279" t="n">
        <v>25000000</v>
      </c>
      <c r="I114" s="279">
        <f>Tabla2[[#This Row],[VU (COP)]]*Tabla2[[#This Row],[CANTIDAD]]</f>
        <v/>
      </c>
      <c r="J114" s="279">
        <f>Tabla2[[#This Row],[TOTAL (COP)]]/$M$1</f>
        <v/>
      </c>
      <c r="K114" s="5" t="n"/>
      <c r="L114" s="5" t="n"/>
      <c r="M114" s="5" t="n"/>
    </row>
    <row r="115">
      <c r="A115" s="112" t="inlineStr">
        <is>
          <t>5. CENTRO DE CONTROL OPERACIONAL</t>
        </is>
      </c>
      <c r="B115" s="22" t="inlineStr">
        <is>
          <t>5.2</t>
        </is>
      </c>
      <c r="C115" s="22" t="inlineStr">
        <is>
          <t>5.2.102</t>
        </is>
      </c>
      <c r="D115" s="118" t="inlineStr">
        <is>
          <t>Sistema audio</t>
        </is>
      </c>
      <c r="E115" s="22" t="inlineStr">
        <is>
          <t>SUMINISTRO</t>
        </is>
      </c>
      <c r="F115" s="22" t="inlineStr">
        <is>
          <t>UND</t>
        </is>
      </c>
      <c r="G115" s="22" t="n">
        <v>1</v>
      </c>
      <c r="H115" s="279" t="n">
        <v>80000000</v>
      </c>
      <c r="I115" s="279">
        <f>Tabla2[[#This Row],[VU (COP)]]*Tabla2[[#This Row],[CANTIDAD]]</f>
        <v/>
      </c>
      <c r="J115" s="279">
        <f>Tabla2[[#This Row],[TOTAL (COP)]]/$M$1</f>
        <v/>
      </c>
      <c r="K115" s="5" t="n"/>
      <c r="L115" s="5" t="n"/>
      <c r="M115" s="5" t="n"/>
    </row>
    <row r="116">
      <c r="A116" s="112" t="inlineStr">
        <is>
          <t>5. CENTRO DE CONTROL OPERACIONAL</t>
        </is>
      </c>
      <c r="B116" s="22" t="inlineStr">
        <is>
          <t>5.2</t>
        </is>
      </c>
      <c r="C116" s="22" t="inlineStr">
        <is>
          <t>5.2.103</t>
        </is>
      </c>
      <c r="D116" s="118" t="inlineStr">
        <is>
          <t>Sistema iluminación</t>
        </is>
      </c>
      <c r="E116" s="22" t="inlineStr">
        <is>
          <t>SUMINISTRO</t>
        </is>
      </c>
      <c r="F116" s="22" t="inlineStr">
        <is>
          <t>UND</t>
        </is>
      </c>
      <c r="G116" s="22" t="n">
        <v>1</v>
      </c>
      <c r="H116" s="279" t="n">
        <v>60000000</v>
      </c>
      <c r="I116" s="279">
        <f>Tabla2[[#This Row],[VU (COP)]]*Tabla2[[#This Row],[CANTIDAD]]</f>
        <v/>
      </c>
      <c r="J116" s="279">
        <f>Tabla2[[#This Row],[TOTAL (COP)]]/$M$1</f>
        <v/>
      </c>
      <c r="K116" s="5" t="n"/>
      <c r="L116" s="5" t="n"/>
      <c r="M116" s="5" t="n"/>
    </row>
    <row r="117">
      <c r="A117" s="112" t="inlineStr">
        <is>
          <t>5. CENTRO DE CONTROL OPERACIONAL</t>
        </is>
      </c>
      <c r="B117" s="22" t="inlineStr">
        <is>
          <t>5.2</t>
        </is>
      </c>
      <c r="C117" s="22" t="inlineStr">
        <is>
          <t>5.2.104</t>
        </is>
      </c>
      <c r="D117" s="118" t="inlineStr">
        <is>
          <t>Muebles y accesorios</t>
        </is>
      </c>
      <c r="E117" s="22" t="inlineStr">
        <is>
          <t>SUMINISTRO</t>
        </is>
      </c>
      <c r="F117" s="22" t="inlineStr">
        <is>
          <t>UND</t>
        </is>
      </c>
      <c r="G117" s="22" t="n">
        <v>1</v>
      </c>
      <c r="H117" s="279" t="n">
        <v>100000000</v>
      </c>
      <c r="I117" s="279">
        <f>Tabla2[[#This Row],[VU (COP)]]*Tabla2[[#This Row],[CANTIDAD]]</f>
        <v/>
      </c>
      <c r="J117" s="279">
        <f>Tabla2[[#This Row],[TOTAL (COP)]]/$M$1</f>
        <v/>
      </c>
      <c r="K117" s="5" t="n"/>
      <c r="L117" s="5" t="n"/>
      <c r="M117" s="5" t="n"/>
    </row>
    <row r="118">
      <c r="A118" s="112" t="inlineStr">
        <is>
          <t>5. CENTRO DE CONTROL OPERACIONAL</t>
        </is>
      </c>
      <c r="B118" s="22" t="inlineStr">
        <is>
          <t>5.3</t>
        </is>
      </c>
      <c r="C118" s="22" t="inlineStr">
        <is>
          <t>5.3.100</t>
        </is>
      </c>
      <c r="D118" s="118" t="inlineStr">
        <is>
          <t>Servidores SCADA</t>
        </is>
      </c>
      <c r="E118" s="22" t="inlineStr">
        <is>
          <t>SUMINISTRO</t>
        </is>
      </c>
      <c r="F118" s="22" t="inlineStr">
        <is>
          <t>UND</t>
        </is>
      </c>
      <c r="G118" s="22" t="n">
        <v>2</v>
      </c>
      <c r="H118" s="279" t="n">
        <v>400000000</v>
      </c>
      <c r="I118" s="279">
        <f>Tabla2[[#This Row],[VU (COP)]]*Tabla2[[#This Row],[CANTIDAD]]</f>
        <v/>
      </c>
      <c r="J118" s="279">
        <f>Tabla2[[#This Row],[TOTAL (COP)]]/$M$1</f>
        <v/>
      </c>
      <c r="K118" s="5" t="n"/>
      <c r="L118" s="5" t="n"/>
      <c r="M118" s="5" t="n"/>
    </row>
    <row r="119">
      <c r="A119" s="112" t="inlineStr">
        <is>
          <t>5. CENTRO DE CONTROL OPERACIONAL</t>
        </is>
      </c>
      <c r="B119" s="22" t="inlineStr">
        <is>
          <t>5.3</t>
        </is>
      </c>
      <c r="C119" s="22" t="inlineStr">
        <is>
          <t>5.3.101</t>
        </is>
      </c>
      <c r="D119" s="118" t="inlineStr">
        <is>
          <t>Software SCADA</t>
        </is>
      </c>
      <c r="E119" s="22" t="inlineStr">
        <is>
          <t>SUMINISTRO</t>
        </is>
      </c>
      <c r="F119" s="22" t="inlineStr">
        <is>
          <t>UND</t>
        </is>
      </c>
      <c r="G119" s="22" t="n">
        <v>1</v>
      </c>
      <c r="H119" s="279" t="n">
        <v>5000000000</v>
      </c>
      <c r="I119" s="279">
        <f>Tabla2[[#This Row],[VU (COP)]]*Tabla2[[#This Row],[CANTIDAD]]</f>
        <v/>
      </c>
      <c r="J119" s="279">
        <f>Tabla2[[#This Row],[TOTAL (COP)]]/$M$1</f>
        <v/>
      </c>
      <c r="K119" s="5" t="n"/>
      <c r="L119" s="5" t="n"/>
      <c r="M119" s="5" t="n"/>
    </row>
    <row r="120">
      <c r="A120" s="112" t="inlineStr">
        <is>
          <t>5. CENTRO DE CONTROL OPERACIONAL</t>
        </is>
      </c>
      <c r="B120" s="22" t="inlineStr">
        <is>
          <t>5.3</t>
        </is>
      </c>
      <c r="C120" s="22" t="inlineStr">
        <is>
          <t>5.3.102</t>
        </is>
      </c>
      <c r="D120" s="118" t="inlineStr">
        <is>
          <t>Base de datos</t>
        </is>
      </c>
      <c r="E120" s="22" t="inlineStr">
        <is>
          <t>SUMINISTRO</t>
        </is>
      </c>
      <c r="F120" s="22" t="inlineStr">
        <is>
          <t>UND</t>
        </is>
      </c>
      <c r="G120" s="22" t="n">
        <v>1</v>
      </c>
      <c r="H120" s="279" t="n">
        <v>150000000</v>
      </c>
      <c r="I120" s="279">
        <f>Tabla2[[#This Row],[VU (COP)]]*Tabla2[[#This Row],[CANTIDAD]]</f>
        <v/>
      </c>
      <c r="J120" s="279">
        <f>Tabla2[[#This Row],[TOTAL (COP)]]/$M$1</f>
        <v/>
      </c>
      <c r="K120" s="5" t="n"/>
      <c r="L120" s="5" t="n"/>
      <c r="M120" s="5" t="n"/>
    </row>
    <row r="121">
      <c r="A121" s="112" t="inlineStr">
        <is>
          <t>5. CENTRO DE CONTROL OPERACIONAL</t>
        </is>
      </c>
      <c r="B121" s="22" t="inlineStr">
        <is>
          <t>5.3</t>
        </is>
      </c>
      <c r="C121" s="22" t="inlineStr">
        <is>
          <t>5.3.103</t>
        </is>
      </c>
      <c r="D121" s="118" t="inlineStr">
        <is>
          <t>Interfaces comunicación</t>
        </is>
      </c>
      <c r="E121" s="22" t="inlineStr">
        <is>
          <t>SUMINISTRO</t>
        </is>
      </c>
      <c r="F121" s="22" t="inlineStr">
        <is>
          <t>UND</t>
        </is>
      </c>
      <c r="G121" s="22" t="n">
        <v>1</v>
      </c>
      <c r="H121" s="279" t="n">
        <v>4112000000</v>
      </c>
      <c r="I121" s="279">
        <f>Tabla2[[#This Row],[VU (COP)]]*Tabla2[[#This Row],[CANTIDAD]]</f>
        <v/>
      </c>
      <c r="J121" s="279">
        <f>Tabla2[[#This Row],[TOTAL (COP)]]/$M$1</f>
        <v/>
      </c>
      <c r="K121" s="5" t="n"/>
      <c r="L121" s="5" t="n"/>
      <c r="M121" s="5" t="n"/>
    </row>
    <row r="122">
      <c r="A122" s="112" t="inlineStr">
        <is>
          <t>5. CENTRO DE CONTROL OPERACIONAL</t>
        </is>
      </c>
      <c r="B122" s="22" t="inlineStr">
        <is>
          <t>5.3</t>
        </is>
      </c>
      <c r="C122" s="22" t="inlineStr">
        <is>
          <t>5.3.104</t>
        </is>
      </c>
      <c r="D122" s="118" t="inlineStr">
        <is>
          <t>Sistema redundancia</t>
        </is>
      </c>
      <c r="E122" s="22" t="inlineStr">
        <is>
          <t>SUMINISTRO</t>
        </is>
      </c>
      <c r="F122" s="22" t="inlineStr">
        <is>
          <t>UND</t>
        </is>
      </c>
      <c r="G122" s="22" t="n">
        <v>1</v>
      </c>
      <c r="H122" s="279" t="n">
        <v>300000000</v>
      </c>
      <c r="I122" s="279">
        <f>Tabla2[[#This Row],[VU (COP)]]*Tabla2[[#This Row],[CANTIDAD]]</f>
        <v/>
      </c>
      <c r="J122" s="279">
        <f>Tabla2[[#This Row],[TOTAL (COP)]]/$M$1</f>
        <v/>
      </c>
      <c r="K122" s="5" t="n"/>
      <c r="L122" s="5" t="n"/>
      <c r="M122" s="5" t="n"/>
    </row>
    <row r="123">
      <c r="A123" s="112" t="inlineStr">
        <is>
          <t>5. CENTRO DE CONTROL OPERACIONAL</t>
        </is>
      </c>
      <c r="B123" s="22" t="inlineStr">
        <is>
          <t>5.3</t>
        </is>
      </c>
      <c r="C123" s="22" t="inlineStr">
        <is>
          <t>5.3.105</t>
        </is>
      </c>
      <c r="D123" s="118" t="inlineStr">
        <is>
          <t>Configuración</t>
        </is>
      </c>
      <c r="E123" s="22" t="inlineStr">
        <is>
          <t>SERVICIO</t>
        </is>
      </c>
      <c r="F123" s="22" t="inlineStr">
        <is>
          <t>UND</t>
        </is>
      </c>
      <c r="G123" s="22" t="n">
        <v>1</v>
      </c>
      <c r="H123" s="279" t="n">
        <v>100000000</v>
      </c>
      <c r="I123" s="279">
        <f>Tabla2[[#This Row],[VU (COP)]]*Tabla2[[#This Row],[CANTIDAD]]</f>
        <v/>
      </c>
      <c r="J123" s="279">
        <f>Tabla2[[#This Row],[TOTAL (COP)]]/$M$1</f>
        <v/>
      </c>
      <c r="K123" s="5" t="n"/>
      <c r="L123" s="5" t="n"/>
      <c r="M123" s="5" t="n"/>
    </row>
    <row r="124">
      <c r="A124" s="112" t="inlineStr">
        <is>
          <t>6. MATERIAL RODANTE</t>
        </is>
      </c>
      <c r="B124" s="22" t="inlineStr">
        <is>
          <t>6.1</t>
        </is>
      </c>
      <c r="C124" s="22" t="inlineStr">
        <is>
          <t>6.1.100</t>
        </is>
      </c>
      <c r="D124" s="118" t="inlineStr">
        <is>
          <t>Sistemas PTC embarcados</t>
        </is>
      </c>
      <c r="E124" s="22" t="inlineStr">
        <is>
          <t>SUMINISTRO</t>
        </is>
      </c>
      <c r="F124" s="22" t="inlineStr">
        <is>
          <t>UND</t>
        </is>
      </c>
      <c r="G124" s="22" t="n">
        <v>15</v>
      </c>
      <c r="H124" s="279" t="n">
        <v>400000000</v>
      </c>
      <c r="I124" s="279">
        <f>Tabla2[[#This Row],[VU (COP)]]*Tabla2[[#This Row],[CANTIDAD]]</f>
        <v/>
      </c>
      <c r="J124" s="279">
        <f>Tabla2[[#This Row],[TOTAL (COP)]]/$M$1</f>
        <v/>
      </c>
      <c r="K124" s="5" t="n"/>
      <c r="L124" s="5" t="n"/>
      <c r="M124" s="5" t="n"/>
    </row>
    <row r="125">
      <c r="A125" s="112" t="inlineStr">
        <is>
          <t>6. MATERIAL RODANTE</t>
        </is>
      </c>
      <c r="B125" s="22" t="inlineStr">
        <is>
          <t>6.1</t>
        </is>
      </c>
      <c r="C125" s="22" t="inlineStr">
        <is>
          <t>6.1.101</t>
        </is>
      </c>
      <c r="D125" s="118" t="inlineStr">
        <is>
          <t>Radios TETRA embarcados</t>
        </is>
      </c>
      <c r="E125" s="22" t="inlineStr">
        <is>
          <t>SUMINISTRO</t>
        </is>
      </c>
      <c r="F125" s="22" t="inlineStr">
        <is>
          <t>UND</t>
        </is>
      </c>
      <c r="G125" s="22" t="n">
        <v>30</v>
      </c>
      <c r="H125" s="279" t="n">
        <v>35000000</v>
      </c>
      <c r="I125" s="279">
        <f>Tabla2[[#This Row],[VU (COP)]]*Tabla2[[#This Row],[CANTIDAD]]</f>
        <v/>
      </c>
      <c r="J125" s="279">
        <f>Tabla2[[#This Row],[TOTAL (COP)]]/$M$1</f>
        <v/>
      </c>
      <c r="K125" s="5" t="n"/>
      <c r="L125" s="5" t="n"/>
      <c r="M125" s="5" t="n"/>
    </row>
    <row r="126" ht="26.25" customHeight="1">
      <c r="A126" s="112" t="inlineStr">
        <is>
          <t>6. MATERIAL RODANTE</t>
        </is>
      </c>
      <c r="B126" s="22" t="inlineStr">
        <is>
          <t>6.1</t>
        </is>
      </c>
      <c r="C126" s="22" t="inlineStr">
        <is>
          <t>6.1.102</t>
        </is>
      </c>
      <c r="D126" s="118" t="inlineStr">
        <is>
          <t>Radios embarcados — red móvil broadband ferroviaria (complemento TETRA)</t>
        </is>
      </c>
      <c r="E126" s="22" t="inlineStr">
        <is>
          <t>SUMINISTRO</t>
        </is>
      </c>
      <c r="F126" s="22" t="inlineStr">
        <is>
          <t>UND</t>
        </is>
      </c>
      <c r="G126" s="22" t="n">
        <v>30</v>
      </c>
      <c r="H126" s="279" t="n">
        <v>25000000</v>
      </c>
      <c r="I126" s="279">
        <f>Tabla2[[#This Row],[VU (COP)]]*Tabla2[[#This Row],[CANTIDAD]]</f>
        <v/>
      </c>
      <c r="J126" s="279">
        <f>Tabla2[[#This Row],[TOTAL (COP)]]/$M$1</f>
        <v/>
      </c>
      <c r="K126" s="5" t="n"/>
      <c r="L126" s="5" t="n"/>
      <c r="M126" s="5" t="n"/>
    </row>
    <row r="127">
      <c r="A127" s="112" t="inlineStr">
        <is>
          <t>6. MATERIAL RODANTE</t>
        </is>
      </c>
      <c r="B127" s="22" t="inlineStr">
        <is>
          <t>6.1</t>
        </is>
      </c>
      <c r="C127" s="22" t="inlineStr">
        <is>
          <t>6.1.103</t>
        </is>
      </c>
      <c r="D127" s="118" t="inlineStr">
        <is>
          <t>Sistemas GPS</t>
        </is>
      </c>
      <c r="E127" s="22" t="inlineStr">
        <is>
          <t>SUMINISTRO</t>
        </is>
      </c>
      <c r="F127" s="22" t="inlineStr">
        <is>
          <t>UND</t>
        </is>
      </c>
      <c r="G127" s="22" t="n">
        <v>15</v>
      </c>
      <c r="H127" s="279" t="n">
        <v>35000000</v>
      </c>
      <c r="I127" s="279">
        <f>Tabla2[[#This Row],[VU (COP)]]*Tabla2[[#This Row],[CANTIDAD]]</f>
        <v/>
      </c>
      <c r="J127" s="279">
        <f>Tabla2[[#This Row],[TOTAL (COP)]]/$M$1</f>
        <v/>
      </c>
      <c r="K127" s="5" t="n"/>
      <c r="L127" s="5" t="n"/>
      <c r="M127" s="5" t="n"/>
    </row>
    <row r="128">
      <c r="A128" s="112" t="inlineStr">
        <is>
          <t>6. MATERIAL RODANTE</t>
        </is>
      </c>
      <c r="B128" s="22" t="inlineStr">
        <is>
          <t>6.1</t>
        </is>
      </c>
      <c r="C128" s="22" t="inlineStr">
        <is>
          <t>6.1.104</t>
        </is>
      </c>
      <c r="D128" s="118" t="inlineStr">
        <is>
          <t>Sistemas redundancia</t>
        </is>
      </c>
      <c r="E128" s="22" t="inlineStr">
        <is>
          <t>SUMINISTRO</t>
        </is>
      </c>
      <c r="F128" s="22" t="inlineStr">
        <is>
          <t>UND</t>
        </is>
      </c>
      <c r="G128" s="22" t="n">
        <v>15</v>
      </c>
      <c r="H128" s="279" t="n">
        <v>80000000</v>
      </c>
      <c r="I128" s="279">
        <f>Tabla2[[#This Row],[VU (COP)]]*Tabla2[[#This Row],[CANTIDAD]]</f>
        <v/>
      </c>
      <c r="J128" s="279">
        <f>Tabla2[[#This Row],[TOTAL (COP)]]/$M$1</f>
        <v/>
      </c>
      <c r="K128" s="5" t="n"/>
      <c r="L128" s="5" t="n"/>
      <c r="M128" s="5" t="n"/>
    </row>
    <row r="129">
      <c r="A129" s="112" t="inlineStr">
        <is>
          <t>6. MATERIAL RODANTE</t>
        </is>
      </c>
      <c r="B129" s="22" t="inlineStr">
        <is>
          <t>6.1</t>
        </is>
      </c>
      <c r="C129" s="22" t="inlineStr">
        <is>
          <t>6.1.105</t>
        </is>
      </c>
      <c r="D129" s="118" t="inlineStr">
        <is>
          <t>Instalación y configuración</t>
        </is>
      </c>
      <c r="E129" s="22" t="inlineStr">
        <is>
          <t>SERVICIO</t>
        </is>
      </c>
      <c r="F129" s="22" t="inlineStr">
        <is>
          <t>UND</t>
        </is>
      </c>
      <c r="G129" s="22" t="n">
        <v>15</v>
      </c>
      <c r="H129" s="279" t="n">
        <v>100000000</v>
      </c>
      <c r="I129" s="279">
        <f>Tabla2[[#This Row],[VU (COP)]]*Tabla2[[#This Row],[CANTIDAD]]</f>
        <v/>
      </c>
      <c r="J129" s="279">
        <f>Tabla2[[#This Row],[TOTAL (COP)]]/$M$1</f>
        <v/>
      </c>
      <c r="K129" s="5" t="n"/>
      <c r="L129" s="5" t="n"/>
      <c r="M129" s="5" t="n"/>
    </row>
    <row r="130">
      <c r="A130" s="112" t="inlineStr">
        <is>
          <t>6. MATERIAL RODANTE</t>
        </is>
      </c>
      <c r="B130" s="22" t="inlineStr">
        <is>
          <t>6.1</t>
        </is>
      </c>
      <c r="C130" s="22" t="inlineStr">
        <is>
          <t>6.1.106</t>
        </is>
      </c>
      <c r="D130" s="118" t="inlineStr">
        <is>
          <t>Repuestos (10%)</t>
        </is>
      </c>
      <c r="E130" s="22" t="inlineStr">
        <is>
          <t>SUMINISTRO</t>
        </is>
      </c>
      <c r="F130" s="22" t="inlineStr">
        <is>
          <t>UND</t>
        </is>
      </c>
      <c r="G130" s="22" t="n">
        <v>1</v>
      </c>
      <c r="H130" s="279" t="n">
        <v>1102500000</v>
      </c>
      <c r="I130" s="279">
        <f>Tabla2[[#This Row],[VU (COP)]]*Tabla2[[#This Row],[CANTIDAD]]</f>
        <v/>
      </c>
      <c r="J130" s="279">
        <f>Tabla2[[#This Row],[TOTAL (COP)]]/$M$1</f>
        <v/>
      </c>
      <c r="K130" s="5" t="n"/>
      <c r="L130" s="5" t="n"/>
      <c r="M130" s="5" t="n"/>
    </row>
    <row r="131">
      <c r="A131" s="112" t="inlineStr">
        <is>
          <t>6. MATERIAL RODANTE</t>
        </is>
      </c>
      <c r="B131" s="22" t="inlineStr">
        <is>
          <t>6.2</t>
        </is>
      </c>
      <c r="C131" s="22" t="inlineStr">
        <is>
          <t>6.2.100</t>
        </is>
      </c>
      <c r="D131" s="118" t="inlineStr">
        <is>
          <t>Dispositivos EOT completos</t>
        </is>
      </c>
      <c r="E131" s="22" t="inlineStr">
        <is>
          <t>SUMINISTRO</t>
        </is>
      </c>
      <c r="F131" s="22" t="inlineStr">
        <is>
          <t>UND</t>
        </is>
      </c>
      <c r="G131" s="22" t="n">
        <v>15</v>
      </c>
      <c r="H131" s="279" t="n">
        <v>25000000</v>
      </c>
      <c r="I131" s="279">
        <f>Tabla2[[#This Row],[VU (COP)]]*Tabla2[[#This Row],[CANTIDAD]]</f>
        <v/>
      </c>
      <c r="J131" s="279">
        <f>Tabla2[[#This Row],[TOTAL (COP)]]/$M$1</f>
        <v/>
      </c>
      <c r="K131" s="5" t="n"/>
      <c r="L131" s="5" t="n"/>
      <c r="M131" s="5" t="n"/>
    </row>
    <row r="132">
      <c r="A132" s="112" t="inlineStr">
        <is>
          <t>6. MATERIAL RODANTE</t>
        </is>
      </c>
      <c r="B132" s="22" t="inlineStr">
        <is>
          <t>6.2</t>
        </is>
      </c>
      <c r="C132" s="22" t="inlineStr">
        <is>
          <t>6.2.101</t>
        </is>
      </c>
      <c r="D132" s="118" t="inlineStr">
        <is>
          <t>Repuestos EOT (10%)</t>
        </is>
      </c>
      <c r="E132" s="22" t="inlineStr">
        <is>
          <t>SUMINISTRO</t>
        </is>
      </c>
      <c r="F132" s="22" t="inlineStr">
        <is>
          <t>UND</t>
        </is>
      </c>
      <c r="G132" s="22" t="n">
        <v>2</v>
      </c>
      <c r="H132" s="279" t="n">
        <v>25000000</v>
      </c>
      <c r="I132" s="279">
        <f>Tabla2[[#This Row],[VU (COP)]]*Tabla2[[#This Row],[CANTIDAD]]</f>
        <v/>
      </c>
      <c r="J132" s="279">
        <f>Tabla2[[#This Row],[TOTAL (COP)]]/$M$1</f>
        <v/>
      </c>
      <c r="K132" s="5" t="n"/>
      <c r="L132" s="5" t="n"/>
      <c r="M132" s="5" t="n"/>
    </row>
    <row r="133">
      <c r="A133" s="112" t="inlineStr">
        <is>
          <t>6. MATERIAL RODANTE</t>
        </is>
      </c>
      <c r="B133" s="22" t="inlineStr">
        <is>
          <t>6.2</t>
        </is>
      </c>
      <c r="C133" s="22" t="inlineStr">
        <is>
          <t>6.2.102</t>
        </is>
      </c>
      <c r="D133" s="118" t="inlineStr">
        <is>
          <t>Instalación EOT</t>
        </is>
      </c>
      <c r="E133" s="22" t="inlineStr">
        <is>
          <t>SUMINISTRO</t>
        </is>
      </c>
      <c r="F133" s="22" t="inlineStr">
        <is>
          <t>UND</t>
        </is>
      </c>
      <c r="G133" s="22" t="n">
        <v>15</v>
      </c>
      <c r="H133" s="279" t="n">
        <v>5000000</v>
      </c>
      <c r="I133" s="279">
        <f>Tabla2[[#This Row],[VU (COP)]]*Tabla2[[#This Row],[CANTIDAD]]</f>
        <v/>
      </c>
      <c r="J133" s="279">
        <f>Tabla2[[#This Row],[TOTAL (COP)]]/$M$1</f>
        <v/>
      </c>
      <c r="K133" s="5" t="n"/>
      <c r="L133" s="5" t="n"/>
      <c r="M133" s="5" t="n"/>
    </row>
    <row r="134">
      <c r="A134" s="112" t="inlineStr">
        <is>
          <t>6. MATERIAL RODANTE</t>
        </is>
      </c>
      <c r="B134" s="22" t="inlineStr">
        <is>
          <t>6.2</t>
        </is>
      </c>
      <c r="C134" s="22" t="inlineStr">
        <is>
          <t>6.2.103</t>
        </is>
      </c>
      <c r="D134" s="118" t="inlineStr">
        <is>
          <t>Configuración EOT</t>
        </is>
      </c>
      <c r="E134" s="22" t="inlineStr">
        <is>
          <t>SERVICIO</t>
        </is>
      </c>
      <c r="F134" s="22" t="inlineStr">
        <is>
          <t>UND</t>
        </is>
      </c>
      <c r="G134" s="22" t="n">
        <v>1</v>
      </c>
      <c r="H134" s="279" t="n">
        <v>20000000</v>
      </c>
      <c r="I134" s="279">
        <f>Tabla2[[#This Row],[VU (COP)]]*Tabla2[[#This Row],[CANTIDAD]]</f>
        <v/>
      </c>
      <c r="J134" s="279">
        <f>Tabla2[[#This Row],[TOTAL (COP)]]/$M$1</f>
        <v/>
      </c>
      <c r="K134" s="5" t="n"/>
      <c r="L134" s="5" t="n"/>
      <c r="M134" s="5" t="n"/>
    </row>
    <row r="135">
      <c r="K135" s="5" t="n"/>
      <c r="L135" s="5" t="n"/>
      <c r="M135" s="5" t="n"/>
    </row>
    <row r="136">
      <c r="A136" s="114" t="n"/>
      <c r="B136" s="5" t="n"/>
      <c r="C136" s="5" t="n"/>
      <c r="D136" s="5" t="n"/>
      <c r="E136" s="5" t="n"/>
      <c r="F136" s="5" t="n"/>
      <c r="G136" s="5" t="n"/>
      <c r="H136" s="5" t="n"/>
      <c r="I136" s="5" t="n"/>
      <c r="J136" s="5" t="n"/>
      <c r="K136" s="5" t="n"/>
      <c r="L136" s="5" t="n"/>
      <c r="M136" s="5" t="n"/>
    </row>
    <row r="137">
      <c r="A137" s="115" t="n"/>
      <c r="B137" s="16" t="n"/>
      <c r="C137" s="16" t="n"/>
      <c r="D137" s="16" t="n"/>
      <c r="E137" s="16" t="n"/>
      <c r="F137" s="16" t="n"/>
      <c r="G137" s="16" t="n"/>
      <c r="H137" s="6" t="inlineStr">
        <is>
          <t>CONCEPTO</t>
        </is>
      </c>
      <c r="I137" s="6" t="inlineStr">
        <is>
          <t>VALOR (COP)</t>
        </is>
      </c>
      <c r="J137" s="6" t="inlineStr">
        <is>
          <t>VALOR (USD)</t>
        </is>
      </c>
      <c r="K137" s="5" t="n"/>
      <c r="L137" s="5" t="n"/>
      <c r="M137" s="5" t="n"/>
    </row>
    <row r="138">
      <c r="A138" s="111" t="n"/>
      <c r="B138" s="10" t="n"/>
      <c r="C138" s="10" t="n"/>
      <c r="D138" s="10" t="n"/>
      <c r="E138" s="10" t="n"/>
      <c r="F138" s="10" t="n"/>
      <c r="G138" s="10" t="n"/>
      <c r="H138" s="8" t="inlineStr">
        <is>
          <t>SUBTOTAL SUMINISTROS</t>
        </is>
      </c>
      <c r="I138" s="280">
        <f>SUMIF($E$2:$E$134,"SUMINISTRO",$I$2:$I$134)</f>
        <v/>
      </c>
      <c r="J138" s="280">
        <f>I138/$M$1</f>
        <v/>
      </c>
      <c r="K138" s="5" t="n"/>
      <c r="L138" s="5" t="n"/>
      <c r="M138" s="5" t="n"/>
    </row>
    <row r="139">
      <c r="A139" s="111" t="n"/>
      <c r="B139" s="10" t="n"/>
      <c r="C139" s="10" t="n"/>
      <c r="D139" s="10" t="n"/>
      <c r="E139" s="10" t="n"/>
      <c r="F139" s="10" t="n"/>
      <c r="G139" s="10" t="n"/>
      <c r="H139" s="8" t="inlineStr">
        <is>
          <t>SUBTOTAL SERVICIOS</t>
        </is>
      </c>
      <c r="I139" s="280">
        <f>SUMIF($E$2:$E$134,"SERVICIO",$I$2:$I$134)</f>
        <v/>
      </c>
      <c r="J139" s="280">
        <f>I139/$M$1</f>
        <v/>
      </c>
      <c r="K139" s="5" t="n"/>
      <c r="L139" s="5" t="n"/>
      <c r="M139" s="5" t="n"/>
    </row>
    <row r="140">
      <c r="A140" s="111" t="n"/>
      <c r="B140" s="10" t="n"/>
      <c r="C140" s="10" t="n"/>
      <c r="D140" s="10" t="n"/>
      <c r="E140" s="10" t="n"/>
      <c r="F140" s="10" t="n"/>
      <c r="G140" s="10" t="n"/>
      <c r="H140" s="9" t="inlineStr">
        <is>
          <t>IVA 19% (Sum+Serv)</t>
        </is>
      </c>
      <c r="I140" s="281">
        <f>(I138+I139)*0.19</f>
        <v/>
      </c>
      <c r="J140" s="281">
        <f>I140/$M$1</f>
        <v/>
      </c>
      <c r="K140" s="5" t="n"/>
      <c r="L140" s="5" t="n"/>
      <c r="M140" s="5" t="n"/>
    </row>
    <row r="141">
      <c r="A141" s="111" t="n"/>
      <c r="B141" s="10" t="n"/>
      <c r="C141" s="10" t="n"/>
      <c r="D141" s="10" t="n"/>
      <c r="E141" s="10" t="n"/>
      <c r="F141" s="10" t="n"/>
      <c r="G141" s="10" t="n"/>
      <c r="H141" s="8" t="inlineStr">
        <is>
          <t>TOTAL c/IVA (Sum+Serv)</t>
        </is>
      </c>
      <c r="I141" s="280">
        <f>I138+I139+I140</f>
        <v/>
      </c>
      <c r="J141" s="280">
        <f>I141/$M$1</f>
        <v/>
      </c>
      <c r="K141" s="5" t="n"/>
      <c r="L141" s="5" t="n"/>
      <c r="M141" s="5" t="n"/>
    </row>
    <row r="142">
      <c r="A142" s="111" t="n"/>
      <c r="B142" s="10" t="n"/>
      <c r="C142" s="10" t="n"/>
      <c r="D142" s="10" t="n"/>
      <c r="E142" s="10" t="n"/>
      <c r="F142" s="10" t="n"/>
      <c r="G142" s="10" t="n"/>
      <c r="H142" s="9" t="n"/>
      <c r="I142" s="281" t="n"/>
      <c r="J142" s="281" t="n"/>
      <c r="K142" s="5" t="n"/>
      <c r="L142" s="5" t="n"/>
      <c r="M142" s="5" t="n"/>
    </row>
    <row r="143">
      <c r="A143" s="111" t="n"/>
      <c r="B143" s="10" t="n"/>
      <c r="C143" s="10" t="n"/>
      <c r="D143" s="10" t="n"/>
      <c r="E143" s="10" t="n"/>
      <c r="F143" s="10" t="n"/>
      <c r="G143" s="10" t="n"/>
      <c r="H143" s="8" t="inlineStr">
        <is>
          <t>SUBTOTAL OBRA CIVIL</t>
        </is>
      </c>
      <c r="I143" s="280">
        <f>SUMIF($E$2:$E$134,"OBRA",$I$2:$I$134)</f>
        <v/>
      </c>
      <c r="J143" s="280">
        <f>I143/$M$1</f>
        <v/>
      </c>
      <c r="K143" s="5" t="n"/>
      <c r="L143" s="5" t="n"/>
      <c r="M143" s="5" t="n"/>
    </row>
    <row r="144">
      <c r="A144" s="111" t="n"/>
      <c r="B144" s="10" t="n"/>
      <c r="C144" s="10" t="n"/>
      <c r="D144" s="10" t="n"/>
      <c r="E144" s="10" t="n"/>
      <c r="F144" s="10" t="n"/>
      <c r="G144" s="10" t="n"/>
      <c r="H144" s="9" t="inlineStr">
        <is>
          <t>Administración (23%)</t>
        </is>
      </c>
      <c r="I144" s="281">
        <f>I143*0.23</f>
        <v/>
      </c>
      <c r="J144" s="281">
        <f>I144/$M$1</f>
        <v/>
      </c>
      <c r="K144" s="5" t="n"/>
      <c r="L144" s="5" t="n"/>
      <c r="M144" s="5" t="n"/>
    </row>
    <row r="145">
      <c r="A145" s="111" t="n"/>
      <c r="B145" s="10" t="n"/>
      <c r="C145" s="10" t="n"/>
      <c r="D145" s="10" t="n"/>
      <c r="E145" s="10" t="n"/>
      <c r="F145" s="10" t="n"/>
      <c r="G145" s="10" t="n"/>
      <c r="H145" s="9" t="inlineStr">
        <is>
          <t>Imprevistos (5%)</t>
        </is>
      </c>
      <c r="I145" s="281">
        <f>I143*0.05</f>
        <v/>
      </c>
      <c r="J145" s="281">
        <f>I145/$M$1</f>
        <v/>
      </c>
      <c r="K145" s="5" t="n"/>
      <c r="L145" s="5" t="n"/>
      <c r="M145" s="5" t="n"/>
    </row>
    <row r="146">
      <c r="A146" s="111" t="n"/>
      <c r="B146" s="10" t="n"/>
      <c r="C146" s="10" t="n"/>
      <c r="D146" s="10" t="n"/>
      <c r="E146" s="10" t="n"/>
      <c r="F146" s="10" t="n"/>
      <c r="G146" s="10" t="n"/>
      <c r="H146" s="9" t="inlineStr">
        <is>
          <t>Utilidad (5%)</t>
        </is>
      </c>
      <c r="I146" s="281">
        <f>I143*0.05</f>
        <v/>
      </c>
      <c r="J146" s="281">
        <f>I146/$M$1</f>
        <v/>
      </c>
      <c r="K146" s="5" t="n"/>
      <c r="L146" s="5" t="n"/>
      <c r="M146" s="5" t="n"/>
    </row>
    <row r="147">
      <c r="A147" s="111" t="n"/>
      <c r="B147" s="10" t="n"/>
      <c r="C147" s="10" t="n"/>
      <c r="D147" s="10" t="n"/>
      <c r="E147" s="10" t="n"/>
      <c r="F147" s="10" t="n"/>
      <c r="G147" s="10" t="n"/>
      <c r="H147" s="9" t="inlineStr">
        <is>
          <t>IVA 19% (s/Util)</t>
        </is>
      </c>
      <c r="I147" s="281">
        <f>I146*0.19</f>
        <v/>
      </c>
      <c r="J147" s="281">
        <f>I147/$M$1</f>
        <v/>
      </c>
      <c r="K147" s="5" t="n"/>
      <c r="L147" s="5" t="n"/>
      <c r="M147" s="5" t="n"/>
    </row>
    <row r="148">
      <c r="A148" s="111" t="n"/>
      <c r="B148" s="10" t="n"/>
      <c r="C148" s="10" t="n"/>
      <c r="D148" s="10" t="n"/>
      <c r="E148" s="10" t="n"/>
      <c r="F148" s="10" t="n"/>
      <c r="G148" s="10" t="n"/>
      <c r="H148" s="8" t="inlineStr">
        <is>
          <t>AIU TOTAL</t>
        </is>
      </c>
      <c r="I148" s="280">
        <f>I143+I144+I145+I146+I147</f>
        <v/>
      </c>
      <c r="J148" s="280">
        <f>I148/$M$1</f>
        <v/>
      </c>
      <c r="K148" s="5" t="n"/>
      <c r="L148" s="5" t="n"/>
      <c r="M148" s="5" t="n"/>
    </row>
    <row r="149">
      <c r="A149" s="111" t="n"/>
      <c r="B149" s="10" t="n"/>
      <c r="C149" s="10" t="n"/>
      <c r="D149" s="10" t="n"/>
      <c r="E149" s="10" t="n"/>
      <c r="F149" s="10" t="n"/>
      <c r="G149" s="10" t="n"/>
      <c r="H149" s="9" t="n"/>
      <c r="I149" s="281" t="n"/>
      <c r="J149" s="281" t="n"/>
      <c r="K149" s="5" t="n"/>
      <c r="L149" s="5" t="n"/>
      <c r="M149" s="5" t="n"/>
    </row>
    <row r="150">
      <c r="A150" s="111" t="n"/>
      <c r="B150" s="10" t="n"/>
      <c r="C150" s="10" t="n"/>
      <c r="D150" s="10" t="n"/>
      <c r="E150" s="10" t="n"/>
      <c r="F150" s="10" t="n"/>
      <c r="G150" s="10" t="n"/>
      <c r="H150" s="8" t="inlineStr">
        <is>
          <t>Suministros + Servicios Total</t>
        </is>
      </c>
      <c r="I150" s="280">
        <f>I141</f>
        <v/>
      </c>
      <c r="J150" s="280">
        <f>I150/$M$1</f>
        <v/>
      </c>
      <c r="K150" s="5" t="n"/>
      <c r="L150" s="5" t="n"/>
      <c r="M150" s="5" t="n"/>
    </row>
    <row r="151">
      <c r="A151" s="111" t="n"/>
      <c r="B151" s="10" t="n"/>
      <c r="C151" s="10" t="n"/>
      <c r="D151" s="10" t="n"/>
      <c r="E151" s="10" t="n"/>
      <c r="F151" s="10" t="n"/>
      <c r="G151" s="10" t="n"/>
      <c r="H151" s="8" t="inlineStr">
        <is>
          <t>Obra Civil Total (con AIU)</t>
        </is>
      </c>
      <c r="I151" s="280">
        <f>I148</f>
        <v/>
      </c>
      <c r="J151" s="280">
        <f>I151/$M$1</f>
        <v/>
      </c>
      <c r="K151" s="5" t="n"/>
      <c r="L151" s="5" t="n"/>
      <c r="M151" s="5" t="n"/>
    </row>
    <row r="152">
      <c r="A152" s="111" t="n"/>
      <c r="B152" s="10" t="n"/>
      <c r="C152" s="10" t="n"/>
      <c r="D152" s="10" t="n"/>
      <c r="E152" s="10" t="n"/>
      <c r="F152" s="10" t="n"/>
      <c r="G152" s="10" t="n"/>
      <c r="H152" s="8" t="inlineStr">
        <is>
          <t>TOTAL GENERAL DEL PROYECTO</t>
        </is>
      </c>
      <c r="I152" s="280">
        <f>I150+I151</f>
        <v/>
      </c>
      <c r="J152" s="280">
        <f>I152/$M$1</f>
        <v/>
      </c>
      <c r="K152" s="5" t="n"/>
      <c r="L152" s="5" t="n"/>
      <c r="M152" s="5" t="n"/>
    </row>
    <row r="153">
      <c r="A153" s="111" t="n"/>
      <c r="B153" s="10" t="n"/>
      <c r="C153" s="10" t="n"/>
      <c r="D153" s="10" t="n"/>
      <c r="E153" s="10" t="n"/>
      <c r="F153" s="10" t="n"/>
      <c r="G153" s="10" t="n"/>
      <c r="H153" s="9" t="n"/>
      <c r="I153" s="281" t="n"/>
      <c r="J153" s="281" t="n"/>
      <c r="K153" s="5" t="n"/>
      <c r="L153" s="5" t="n"/>
      <c r="M153" s="5" t="n"/>
    </row>
    <row r="154">
      <c r="A154" s="111" t="n"/>
      <c r="B154" s="10" t="n"/>
      <c r="C154" s="10" t="n"/>
      <c r="D154" s="10" t="n"/>
      <c r="E154" s="10" t="n"/>
      <c r="F154" s="10" t="n"/>
      <c r="G154" s="10" t="n"/>
      <c r="H154" s="9" t="inlineStr">
        <is>
          <t>TRM aplicada</t>
        </is>
      </c>
      <c r="I154" s="116" t="n">
        <v>4400</v>
      </c>
      <c r="J154" s="9" t="n"/>
      <c r="K154" s="5" t="n"/>
      <c r="L154" s="5" t="n"/>
      <c r="M154" s="5" t="n"/>
    </row>
    <row r="155">
      <c r="A155" s="111" t="n"/>
      <c r="B155" s="10" t="n"/>
      <c r="C155" s="10" t="n"/>
      <c r="D155" s="10" t="n"/>
      <c r="E155" s="10" t="n"/>
      <c r="F155" s="10" t="n"/>
      <c r="G155" s="10" t="n"/>
      <c r="H155" s="9" t="inlineStr">
        <is>
          <t>Fecha generación</t>
        </is>
      </c>
      <c r="I155" s="9" t="inlineStr">
        <is>
          <t>2026-05-05</t>
        </is>
      </c>
      <c r="J155" s="9" t="n"/>
      <c r="K155" s="5" t="n"/>
      <c r="L155" s="5" t="n"/>
      <c r="M155" s="5" t="n"/>
    </row>
  </sheetData>
  <pageMargins left="0.5" right="0.5" top="0.5" bottom="0.5" header="0.25" footer="0.25"/>
  <pageSetup orientation="landscape"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47"/>
  <sheetViews>
    <sheetView workbookViewId="0">
      <pane ySplit="4" topLeftCell="A115" activePane="bottomLeft" state="frozen"/>
      <selection pane="bottomLeft" activeCell="G142" sqref="A141:G142"/>
    </sheetView>
  </sheetViews>
  <sheetFormatPr baseColWidth="10" defaultRowHeight="15.75"/>
  <cols>
    <col width="12" bestFit="1" customWidth="1" min="1" max="1"/>
    <col width="8.625" customWidth="1" min="2" max="2"/>
    <col width="50" customWidth="1" min="3" max="3"/>
    <col width="6.125" customWidth="1" min="4" max="4"/>
    <col width="6" bestFit="1" customWidth="1" min="5" max="5"/>
    <col width="21.625" customWidth="1" min="6" max="6"/>
    <col width="22" bestFit="1" customWidth="1" min="7" max="7"/>
  </cols>
  <sheetData>
    <row r="1" ht="30" customHeight="1">
      <c r="A1" s="198" t="inlineStr">
        <is>
          <t>ACTA DE OBRA — OBRA CIVIL VS COMPRAS VS SERVICIOS</t>
        </is>
      </c>
    </row>
    <row r="2">
      <c r="A2" s="200" t="inlineStr">
        <is>
          <t>Clasificación por tipo. AIU 33% aplica solo sobre Obra Civil. IVA 19% aplica a Suministros, Servicios y Utilidad de Obra.</t>
        </is>
      </c>
    </row>
    <row r="3" ht="16.5" customHeight="1" thickBot="1">
      <c r="A3" s="5" t="n"/>
      <c r="B3" s="5" t="n"/>
      <c r="C3" s="5" t="n"/>
      <c r="D3" s="5" t="n"/>
      <c r="E3" s="5" t="n"/>
      <c r="F3" s="5" t="n"/>
      <c r="G3" s="5" t="n"/>
    </row>
    <row r="4" ht="26.1" customHeight="1" thickBot="1">
      <c r="A4" s="132" t="inlineStr">
        <is>
          <t>TIPO</t>
        </is>
      </c>
      <c r="B4" s="133" t="inlineStr">
        <is>
          <t>ÍTEM</t>
        </is>
      </c>
      <c r="C4" s="134" t="inlineStr">
        <is>
          <t>DESCRIPCIÓN</t>
        </is>
      </c>
      <c r="D4" s="133" t="inlineStr">
        <is>
          <t>UND</t>
        </is>
      </c>
      <c r="E4" s="133" t="inlineStr">
        <is>
          <t>CANT</t>
        </is>
      </c>
      <c r="F4" s="133" t="inlineStr">
        <is>
          <t>VU (COP)</t>
        </is>
      </c>
      <c r="G4" s="135" t="inlineStr">
        <is>
          <t>TOTAL (COP)</t>
        </is>
      </c>
    </row>
    <row r="5">
      <c r="A5" s="71" t="inlineStr">
        <is>
          <t>SUMINISTRO</t>
        </is>
      </c>
      <c r="B5" s="58" t="inlineStr">
        <is>
          <t>1.1.100</t>
        </is>
      </c>
      <c r="C5" s="59" t="inlineStr">
        <is>
          <t>Servidores CTC principales</t>
        </is>
      </c>
      <c r="D5" s="58" t="inlineStr">
        <is>
          <t>UND</t>
        </is>
      </c>
      <c r="E5" s="58" t="n">
        <v>2</v>
      </c>
      <c r="F5" s="282" t="n">
        <v>180000000</v>
      </c>
      <c r="G5" s="283" t="n">
        <v>360000000</v>
      </c>
    </row>
    <row r="6">
      <c r="A6" s="71" t="inlineStr">
        <is>
          <t>SUMINISTRO</t>
        </is>
      </c>
      <c r="B6" s="58" t="inlineStr">
        <is>
          <t>1.1.101</t>
        </is>
      </c>
      <c r="C6" s="59" t="inlineStr">
        <is>
          <t>Servidores CTC respaldo</t>
        </is>
      </c>
      <c r="D6" s="58" t="inlineStr">
        <is>
          <t>UND</t>
        </is>
      </c>
      <c r="E6" s="58" t="n">
        <v>2</v>
      </c>
      <c r="F6" s="282" t="n">
        <v>180000000</v>
      </c>
      <c r="G6" s="283" t="n">
        <v>360000000</v>
      </c>
    </row>
    <row r="7">
      <c r="A7" s="71" t="inlineStr">
        <is>
          <t>SUMINISTRO</t>
        </is>
      </c>
      <c r="B7" s="58" t="inlineStr">
        <is>
          <t>1.1.102</t>
        </is>
      </c>
      <c r="C7" s="59" t="inlineStr">
        <is>
          <t>Workstations operadores</t>
        </is>
      </c>
      <c r="D7" s="58" t="inlineStr">
        <is>
          <t>UND</t>
        </is>
      </c>
      <c r="E7" s="58" t="n">
        <v>8</v>
      </c>
      <c r="F7" s="282" t="n">
        <v>45000000</v>
      </c>
      <c r="G7" s="283" t="n">
        <v>360000000</v>
      </c>
    </row>
    <row r="8" ht="29.25" customHeight="1">
      <c r="A8" s="71" t="inlineStr">
        <is>
          <t>SUMINISTRO</t>
        </is>
      </c>
      <c r="B8" s="58" t="inlineStr">
        <is>
          <t>1.1.103</t>
        </is>
      </c>
      <c r="C8" s="59" t="inlineStr">
        <is>
          <t>Software CTC virtual + Autorizaciones PTC (Interoperabilidad Procedimental)</t>
        </is>
      </c>
      <c r="D8" s="58" t="inlineStr">
        <is>
          <t>UND</t>
        </is>
      </c>
      <c r="E8" s="58" t="n">
        <v>1</v>
      </c>
      <c r="F8" s="282" t="n">
        <v>11000000000</v>
      </c>
      <c r="G8" s="283" t="n">
        <v>11000000000</v>
      </c>
    </row>
    <row r="9">
      <c r="A9" s="71" t="inlineStr">
        <is>
          <t>SUMINISTRO</t>
        </is>
      </c>
      <c r="B9" s="58" t="inlineStr">
        <is>
          <t>1.1.104</t>
        </is>
      </c>
      <c r="C9" s="59" t="inlineStr">
        <is>
          <t>Base de datos centralizada</t>
        </is>
      </c>
      <c r="D9" s="58" t="inlineStr">
        <is>
          <t>UND</t>
        </is>
      </c>
      <c r="E9" s="58" t="n">
        <v>1</v>
      </c>
      <c r="F9" s="282" t="n">
        <v>200000000</v>
      </c>
      <c r="G9" s="283" t="n">
        <v>200000000</v>
      </c>
    </row>
    <row r="10">
      <c r="A10" s="71" t="inlineStr">
        <is>
          <t>SUMINISTRO</t>
        </is>
      </c>
      <c r="B10" s="58" t="inlineStr">
        <is>
          <t>1.1.105</t>
        </is>
      </c>
      <c r="C10" s="59" t="inlineStr">
        <is>
          <t>Sistema redundancia</t>
        </is>
      </c>
      <c r="D10" s="58" t="inlineStr">
        <is>
          <t>UND</t>
        </is>
      </c>
      <c r="E10" s="58" t="n">
        <v>1</v>
      </c>
      <c r="F10" s="282" t="n">
        <v>300000000</v>
      </c>
      <c r="G10" s="283" t="n">
        <v>300000000</v>
      </c>
    </row>
    <row r="11">
      <c r="A11" s="71" t="inlineStr">
        <is>
          <t>SUMINISTRO</t>
        </is>
      </c>
      <c r="B11" s="58" t="inlineStr">
        <is>
          <t>1.1.106</t>
        </is>
      </c>
      <c r="C11" s="59" t="inlineStr">
        <is>
          <t>Interfaces comunicación</t>
        </is>
      </c>
      <c r="D11" s="58" t="inlineStr">
        <is>
          <t>UND</t>
        </is>
      </c>
      <c r="E11" s="58" t="n">
        <v>1</v>
      </c>
      <c r="F11" s="282" t="n">
        <v>150000000</v>
      </c>
      <c r="G11" s="283" t="n">
        <v>150000000</v>
      </c>
    </row>
    <row r="12">
      <c r="A12" s="71" t="inlineStr">
        <is>
          <t>SUMINISTRO</t>
        </is>
      </c>
      <c r="B12" s="58" t="inlineStr">
        <is>
          <t>1.2.100</t>
        </is>
      </c>
      <c r="C12" s="59" t="inlineStr">
        <is>
          <t>Computadora PTC embarcada</t>
        </is>
      </c>
      <c r="D12" s="58" t="inlineStr">
        <is>
          <t>UND</t>
        </is>
      </c>
      <c r="E12" s="58" t="n">
        <v>15</v>
      </c>
      <c r="F12" s="282" t="n">
        <v>120000000</v>
      </c>
      <c r="G12" s="283" t="n">
        <v>1800000000</v>
      </c>
    </row>
    <row r="13">
      <c r="A13" s="71" t="inlineStr">
        <is>
          <t>SUMINISTRO</t>
        </is>
      </c>
      <c r="B13" s="58" t="inlineStr">
        <is>
          <t>1.2.101</t>
        </is>
      </c>
      <c r="C13" s="59" t="inlineStr">
        <is>
          <t>Display maquinista</t>
        </is>
      </c>
      <c r="D13" s="58" t="inlineStr">
        <is>
          <t>UND</t>
        </is>
      </c>
      <c r="E13" s="58" t="n">
        <v>15</v>
      </c>
      <c r="F13" s="282" t="n">
        <v>80000000</v>
      </c>
      <c r="G13" s="283" t="n">
        <v>1200000000</v>
      </c>
    </row>
    <row r="14">
      <c r="A14" s="71" t="inlineStr">
        <is>
          <t>SUMINISTRO</t>
        </is>
      </c>
      <c r="B14" s="58" t="inlineStr">
        <is>
          <t>1.2.102</t>
        </is>
      </c>
      <c r="C14" s="59" t="inlineStr">
        <is>
          <t>Sensores velocidad</t>
        </is>
      </c>
      <c r="D14" s="58" t="inlineStr">
        <is>
          <t>UND</t>
        </is>
      </c>
      <c r="E14" s="58" t="n">
        <v>15</v>
      </c>
      <c r="F14" s="282" t="n">
        <v>25000000</v>
      </c>
      <c r="G14" s="283" t="n">
        <v>375000000</v>
      </c>
    </row>
    <row r="15">
      <c r="A15" s="71" t="inlineStr">
        <is>
          <t>SUMINISTRO</t>
        </is>
      </c>
      <c r="B15" s="58" t="inlineStr">
        <is>
          <t>1.2.103</t>
        </is>
      </c>
      <c r="C15" s="59" t="inlineStr">
        <is>
          <t>Sistema GPS</t>
        </is>
      </c>
      <c r="D15" s="58" t="inlineStr">
        <is>
          <t>UND</t>
        </is>
      </c>
      <c r="E15" s="58" t="n">
        <v>15</v>
      </c>
      <c r="F15" s="282" t="n">
        <v>35000000</v>
      </c>
      <c r="G15" s="283" t="n">
        <v>525000000</v>
      </c>
    </row>
    <row r="16">
      <c r="A16" s="71" t="inlineStr">
        <is>
          <t>SUMINISTRO</t>
        </is>
      </c>
      <c r="B16" s="58" t="inlineStr">
        <is>
          <t>1.2.104</t>
        </is>
      </c>
      <c r="C16" s="59" t="inlineStr">
        <is>
          <t>Software PTC</t>
        </is>
      </c>
      <c r="D16" s="58" t="inlineStr">
        <is>
          <t>UND</t>
        </is>
      </c>
      <c r="E16" s="58" t="n">
        <v>15</v>
      </c>
      <c r="F16" s="282" t="n">
        <v>100000000</v>
      </c>
      <c r="G16" s="283" t="n">
        <v>1500000000</v>
      </c>
    </row>
    <row r="17">
      <c r="A17" s="71" t="inlineStr">
        <is>
          <t>SUMINISTRO</t>
        </is>
      </c>
      <c r="B17" s="58" t="inlineStr">
        <is>
          <t>1.2.105</t>
        </is>
      </c>
      <c r="C17" s="59" t="inlineStr">
        <is>
          <t>Interfaces frenos</t>
        </is>
      </c>
      <c r="D17" s="58" t="inlineStr">
        <is>
          <t>UND</t>
        </is>
      </c>
      <c r="E17" s="58" t="n">
        <v>15</v>
      </c>
      <c r="F17" s="282" t="n">
        <v>30000000</v>
      </c>
      <c r="G17" s="283" t="n">
        <v>450000000</v>
      </c>
    </row>
    <row r="18">
      <c r="A18" s="71" t="inlineStr">
        <is>
          <t>SUMINISTRO</t>
        </is>
      </c>
      <c r="B18" s="58" t="inlineStr">
        <is>
          <t>1.2.106</t>
        </is>
      </c>
      <c r="C18" s="59" t="inlineStr">
        <is>
          <t>Sistema redundancia</t>
        </is>
      </c>
      <c r="D18" s="58" t="inlineStr">
        <is>
          <t>UND</t>
        </is>
      </c>
      <c r="E18" s="58" t="n">
        <v>15</v>
      </c>
      <c r="F18" s="282" t="n">
        <v>50000000</v>
      </c>
      <c r="G18" s="283" t="n">
        <v>750000000</v>
      </c>
    </row>
    <row r="19" ht="43.5" customHeight="1">
      <c r="A19" s="71" t="inlineStr">
        <is>
          <t>SUMINISTRO</t>
        </is>
      </c>
      <c r="B19" s="58" t="inlineStr">
        <is>
          <t>1.3.100</t>
        </is>
      </c>
      <c r="C19" s="59" t="inlineStr">
        <is>
          <t>Controlador ENCE Zapatosa (DT-COMS-2026-007: ADIF CAC020 €356,780 + ajustes trocha 914+log−MO ≈ $2,000M COP)</t>
        </is>
      </c>
      <c r="D19" s="58" t="inlineStr">
        <is>
          <t>UND</t>
        </is>
      </c>
      <c r="E19" s="58" t="n">
        <v>1</v>
      </c>
      <c r="F19" s="282" t="n">
        <v>2000000000</v>
      </c>
      <c r="G19" s="283" t="n">
        <v>2000000000</v>
      </c>
    </row>
    <row r="20">
      <c r="A20" s="71" t="inlineStr">
        <is>
          <t>SUMINISTRO</t>
        </is>
      </c>
      <c r="B20" s="58" t="inlineStr">
        <is>
          <t>1.3.101</t>
        </is>
      </c>
      <c r="C20" s="59" t="inlineStr">
        <is>
          <t>Controlador ENCE García Cadena (DT-COMS-2026-007)</t>
        </is>
      </c>
      <c r="D20" s="58" t="inlineStr">
        <is>
          <t>UND</t>
        </is>
      </c>
      <c r="E20" s="58" t="n">
        <v>1</v>
      </c>
      <c r="F20" s="282" t="n">
        <v>2000000000</v>
      </c>
      <c r="G20" s="283" t="n">
        <v>2000000000</v>
      </c>
    </row>
    <row r="21" ht="29.25" customHeight="1">
      <c r="A21" s="71" t="inlineStr">
        <is>
          <t>SUMINISTRO</t>
        </is>
      </c>
      <c r="B21" s="58" t="inlineStr">
        <is>
          <t>1.3.102</t>
        </is>
      </c>
      <c r="C21" s="59" t="inlineStr">
        <is>
          <t>Controlador ENCE Barrancabermeja (Puerto) (DT-COMS-2026-007)</t>
        </is>
      </c>
      <c r="D21" s="58" t="inlineStr">
        <is>
          <t>UND</t>
        </is>
      </c>
      <c r="E21" s="58" t="n">
        <v>1</v>
      </c>
      <c r="F21" s="282" t="n">
        <v>2000000000</v>
      </c>
      <c r="G21" s="283" t="n">
        <v>2000000000</v>
      </c>
    </row>
    <row r="22" ht="29.25" customHeight="1">
      <c r="A22" s="71" t="inlineStr">
        <is>
          <t>SUMINISTRO</t>
        </is>
      </c>
      <c r="B22" s="58" t="inlineStr">
        <is>
          <t>1.3.103</t>
        </is>
      </c>
      <c r="C22" s="59" t="inlineStr">
        <is>
          <t>Controlador ENCE Puerto Berrío-Grecia (DT-COMS-2026-007)</t>
        </is>
      </c>
      <c r="D22" s="58" t="inlineStr">
        <is>
          <t>UND</t>
        </is>
      </c>
      <c r="E22" s="58" t="n">
        <v>1</v>
      </c>
      <c r="F22" s="282" t="n">
        <v>2000000000</v>
      </c>
      <c r="G22" s="283" t="n">
        <v>2000000000</v>
      </c>
    </row>
    <row r="23" ht="29.25" customHeight="1">
      <c r="A23" s="71" t="inlineStr">
        <is>
          <t>SUMINISTRO</t>
        </is>
      </c>
      <c r="B23" s="58" t="inlineStr">
        <is>
          <t>1.3.104</t>
        </is>
      </c>
      <c r="C23" s="59" t="inlineStr">
        <is>
          <t>Controlador ENCE La Dorada-México (DT-COMS-2026-007)</t>
        </is>
      </c>
      <c r="D23" s="58" t="inlineStr">
        <is>
          <t>UND</t>
        </is>
      </c>
      <c r="E23" s="58" t="n">
        <v>1</v>
      </c>
      <c r="F23" s="282" t="n">
        <v>2000000000</v>
      </c>
      <c r="G23" s="283" t="n">
        <v>2000000000</v>
      </c>
    </row>
    <row r="24">
      <c r="A24" s="71" t="inlineStr">
        <is>
          <t>SUMINISTRO</t>
        </is>
      </c>
      <c r="B24" s="58" t="inlineStr">
        <is>
          <t>1.3.105</t>
        </is>
      </c>
      <c r="C24" s="59" t="inlineStr">
        <is>
          <t>Sistema redundancia ENCE</t>
        </is>
      </c>
      <c r="D24" s="58" t="inlineStr">
        <is>
          <t>UND</t>
        </is>
      </c>
      <c r="E24" s="58" t="n">
        <v>1</v>
      </c>
      <c r="F24" s="282" t="n">
        <v>400000000</v>
      </c>
      <c r="G24" s="283" t="n">
        <v>400000000</v>
      </c>
    </row>
    <row r="25">
      <c r="A25" s="71" t="inlineStr">
        <is>
          <t>SUMINISTRO</t>
        </is>
      </c>
      <c r="B25" s="58" t="inlineStr">
        <is>
          <t>1.3.106</t>
        </is>
      </c>
      <c r="C25" s="59" t="inlineStr">
        <is>
          <t>Interfaces CTC-ENCE</t>
        </is>
      </c>
      <c r="D25" s="58" t="inlineStr">
        <is>
          <t>UND</t>
        </is>
      </c>
      <c r="E25" s="58" t="n">
        <v>5</v>
      </c>
      <c r="F25" s="282" t="n">
        <v>60000000</v>
      </c>
      <c r="G25" s="283" t="n">
        <v>300000000</v>
      </c>
    </row>
    <row r="26" ht="43.5" customHeight="1">
      <c r="A26" s="71" t="inlineStr">
        <is>
          <t>SUMINISTRO</t>
        </is>
      </c>
      <c r="B26" s="58" t="inlineStr">
        <is>
          <t>1.4.100</t>
        </is>
      </c>
      <c r="C26" s="59" t="inlineStr">
        <is>
          <t>Desvíos motorizados CTC (DT-COMS-2026-007: ADIF VEA010 €114,320 + ajustes trocha 914+log−MO ≈ $640M COP)</t>
        </is>
      </c>
      <c r="D26" s="58" t="inlineStr">
        <is>
          <t>UND</t>
        </is>
      </c>
      <c r="E26" s="58" t="n">
        <v>25</v>
      </c>
      <c r="F26" s="282" t="n">
        <v>640000000</v>
      </c>
      <c r="G26" s="283" t="n">
        <v>16000000000</v>
      </c>
    </row>
    <row r="27">
      <c r="A27" s="71" t="inlineStr">
        <is>
          <t>SUMINISTRO</t>
        </is>
      </c>
      <c r="B27" s="58" t="inlineStr">
        <is>
          <t>1.4.101</t>
        </is>
      </c>
      <c r="C27" s="59" t="inlineStr">
        <is>
          <t>Sistemas control remoto + redundancia N+1</t>
        </is>
      </c>
      <c r="D27" s="58" t="inlineStr">
        <is>
          <t>UND</t>
        </is>
      </c>
      <c r="E27" s="58" t="n">
        <v>25</v>
      </c>
      <c r="F27" s="282" t="n">
        <v>134577000</v>
      </c>
      <c r="G27" s="283" t="n">
        <v>3364425000</v>
      </c>
    </row>
    <row r="28">
      <c r="A28" s="71" t="inlineStr">
        <is>
          <t>SUMINISTRO</t>
        </is>
      </c>
      <c r="B28" s="58" t="inlineStr">
        <is>
          <t>1.4.102</t>
        </is>
      </c>
      <c r="C28" s="59" t="inlineStr">
        <is>
          <t>Interfaces CTC/ENCE</t>
        </is>
      </c>
      <c r="D28" s="58" t="inlineStr">
        <is>
          <t>UND</t>
        </is>
      </c>
      <c r="E28" s="58" t="n">
        <v>25</v>
      </c>
      <c r="F28" s="282" t="n">
        <v>67288000</v>
      </c>
      <c r="G28" s="283" t="n">
        <v>1682200000</v>
      </c>
    </row>
    <row r="29" ht="29.25" customHeight="1">
      <c r="A29" s="71" t="inlineStr">
        <is>
          <t>SUMINISTRO</t>
        </is>
      </c>
      <c r="B29" s="58" t="inlineStr">
        <is>
          <t>1.5.100</t>
        </is>
      </c>
      <c r="C29" s="59" t="inlineStr">
        <is>
          <t>Desvíos manuales autotalonables (con comprobador integrado)</t>
        </is>
      </c>
      <c r="D29" s="58" t="inlineStr">
        <is>
          <t>UND</t>
        </is>
      </c>
      <c r="E29" s="58" t="n">
        <v>120</v>
      </c>
      <c r="F29" s="282" t="n">
        <v>134577000</v>
      </c>
      <c r="G29" s="283" t="n">
        <v>16149240000</v>
      </c>
    </row>
    <row r="30" ht="29.25" customHeight="1">
      <c r="A30" s="71" t="inlineStr">
        <is>
          <t>SUMINISTRO</t>
        </is>
      </c>
      <c r="B30" s="58" t="inlineStr">
        <is>
          <t>1.5.101</t>
        </is>
      </c>
      <c r="C30" s="59" t="inlineStr">
        <is>
          <t>Señalización semafórica estaciones ENCE (5 estaciones × 6 señales/estación promedio)</t>
        </is>
      </c>
      <c r="D30" s="58" t="inlineStr">
        <is>
          <t>UND</t>
        </is>
      </c>
      <c r="E30" s="58" t="n">
        <v>30</v>
      </c>
      <c r="F30" s="282" t="n">
        <v>51920000</v>
      </c>
      <c r="G30" s="283" t="n">
        <v>1557600000</v>
      </c>
    </row>
    <row r="31">
      <c r="A31" s="71" t="inlineStr">
        <is>
          <t>SUMINISTRO</t>
        </is>
      </c>
      <c r="B31" s="58" t="inlineStr">
        <is>
          <t>1.5.102</t>
        </is>
      </c>
      <c r="C31" s="59" t="inlineStr">
        <is>
          <t>Herramientas operación (kit completo certificado)</t>
        </is>
      </c>
      <c r="D31" s="58" t="inlineStr">
        <is>
          <t>UND</t>
        </is>
      </c>
      <c r="E31" s="58" t="n">
        <v>120</v>
      </c>
      <c r="F31" s="282" t="n">
        <v>13458000</v>
      </c>
      <c r="G31" s="283" t="n">
        <v>1614960000</v>
      </c>
    </row>
    <row r="32">
      <c r="A32" s="71" t="inlineStr">
        <is>
          <t>SUMINISTRO</t>
        </is>
      </c>
      <c r="B32" s="58" t="inlineStr">
        <is>
          <t>2.1.100</t>
        </is>
      </c>
      <c r="C32" s="59" t="inlineStr">
        <is>
          <t>Torres autosoportadas</t>
        </is>
      </c>
      <c r="D32" s="58" t="inlineStr">
        <is>
          <t>UND</t>
        </is>
      </c>
      <c r="E32" s="58" t="n">
        <v>37</v>
      </c>
      <c r="F32" s="282" t="n">
        <v>180000000</v>
      </c>
      <c r="G32" s="283" t="n">
        <v>6660000000</v>
      </c>
    </row>
    <row r="33">
      <c r="A33" s="71" t="inlineStr">
        <is>
          <t>SUMINISTRO</t>
        </is>
      </c>
      <c r="B33" s="58" t="inlineStr">
        <is>
          <t>2.1.101</t>
        </is>
      </c>
      <c r="C33" s="59" t="inlineStr">
        <is>
          <t>Estaciones base TETRA</t>
        </is>
      </c>
      <c r="D33" s="58" t="inlineStr">
        <is>
          <t>UND</t>
        </is>
      </c>
      <c r="E33" s="58" t="n">
        <v>37</v>
      </c>
      <c r="F33" s="282" t="n">
        <v>65000000</v>
      </c>
      <c r="G33" s="283" t="n">
        <v>2405000000</v>
      </c>
    </row>
    <row r="34">
      <c r="A34" s="71" t="inlineStr">
        <is>
          <t>SUMINISTRO</t>
        </is>
      </c>
      <c r="B34" s="58" t="inlineStr">
        <is>
          <t>2.1.102</t>
        </is>
      </c>
      <c r="C34" s="59" t="inlineStr">
        <is>
          <t>Antenas TETRA</t>
        </is>
      </c>
      <c r="D34" s="58" t="inlineStr">
        <is>
          <t>UND</t>
        </is>
      </c>
      <c r="E34" s="58" t="n">
        <v>37</v>
      </c>
      <c r="F34" s="282" t="n">
        <v>12000000</v>
      </c>
      <c r="G34" s="283" t="n">
        <v>444000000</v>
      </c>
    </row>
    <row r="35">
      <c r="A35" s="71" t="inlineStr">
        <is>
          <t>SUMINISTRO</t>
        </is>
      </c>
      <c r="B35" s="58" t="inlineStr">
        <is>
          <t>2.1.103</t>
        </is>
      </c>
      <c r="C35" s="59" t="inlineStr">
        <is>
          <t>Radios embarcados (30 unidades)</t>
        </is>
      </c>
      <c r="D35" s="58" t="inlineStr">
        <is>
          <t>UND</t>
        </is>
      </c>
      <c r="E35" s="58" t="n">
        <v>30</v>
      </c>
      <c r="F35" s="282" t="n">
        <v>35000000</v>
      </c>
      <c r="G35" s="283" t="n">
        <v>1050000000</v>
      </c>
    </row>
    <row r="36">
      <c r="A36" s="71" t="inlineStr">
        <is>
          <t>SUMINISTRO</t>
        </is>
      </c>
      <c r="B36" s="58" t="inlineStr">
        <is>
          <t>2.1.104</t>
        </is>
      </c>
      <c r="C36" s="59" t="inlineStr">
        <is>
          <t>Radios portátiles</t>
        </is>
      </c>
      <c r="D36" s="58" t="inlineStr">
        <is>
          <t>UND</t>
        </is>
      </c>
      <c r="E36" s="58" t="n">
        <v>80</v>
      </c>
      <c r="F36" s="282" t="n">
        <v>6000000</v>
      </c>
      <c r="G36" s="283" t="n">
        <v>480000000</v>
      </c>
    </row>
    <row r="37">
      <c r="A37" s="71" t="inlineStr">
        <is>
          <t>SUMINISTRO</t>
        </is>
      </c>
      <c r="B37" s="58" t="inlineStr">
        <is>
          <t>2.1.105</t>
        </is>
      </c>
      <c r="C37" s="59" t="inlineStr">
        <is>
          <t>Sistema control centralizado</t>
        </is>
      </c>
      <c r="D37" s="58" t="inlineStr">
        <is>
          <t>UND</t>
        </is>
      </c>
      <c r="E37" s="58" t="n">
        <v>1</v>
      </c>
      <c r="F37" s="282" t="n">
        <v>120000000</v>
      </c>
      <c r="G37" s="283" t="n">
        <v>120000000</v>
      </c>
    </row>
    <row r="38">
      <c r="A38" s="71" t="inlineStr">
        <is>
          <t>SUMINISTRO</t>
        </is>
      </c>
      <c r="B38" s="58" t="inlineStr">
        <is>
          <t>2.1.110</t>
        </is>
      </c>
      <c r="C38" s="59" t="inlineStr">
        <is>
          <t>Sistemas de seguridad</t>
        </is>
      </c>
      <c r="D38" s="58" t="inlineStr">
        <is>
          <t>UND</t>
        </is>
      </c>
      <c r="E38" s="58" t="n">
        <v>37</v>
      </c>
      <c r="F38" s="282" t="n">
        <v>20000000</v>
      </c>
      <c r="G38" s="283" t="n">
        <v>740000000</v>
      </c>
    </row>
    <row r="39">
      <c r="A39" s="71" t="inlineStr">
        <is>
          <t>SUMINISTRO</t>
        </is>
      </c>
      <c r="B39" s="58" t="inlineStr">
        <is>
          <t>2.1.115</t>
        </is>
      </c>
      <c r="C39" s="59" t="inlineStr">
        <is>
          <t>Repuestos (10%)</t>
        </is>
      </c>
      <c r="D39" s="58" t="inlineStr">
        <is>
          <t>UND</t>
        </is>
      </c>
      <c r="E39" s="58" t="n">
        <v>1</v>
      </c>
      <c r="F39" s="282" t="n">
        <v>1774000000</v>
      </c>
      <c r="G39" s="283" t="n">
        <v>1774000000</v>
      </c>
    </row>
    <row r="40" ht="29.25" customHeight="1">
      <c r="A40" s="71" t="inlineStr">
        <is>
          <t>SUMINISTRO</t>
        </is>
      </c>
      <c r="B40" s="58" t="inlineStr">
        <is>
          <t>2.1.116</t>
        </is>
      </c>
      <c r="C40" s="59" t="inlineStr">
        <is>
          <t>Bancos baterías UPS 24h sitios remotos TETRA (BCD §10.5 — química a definir vía RFQ)</t>
        </is>
      </c>
      <c r="D40" s="58" t="inlineStr">
        <is>
          <t>UND</t>
        </is>
      </c>
      <c r="E40" s="58" t="n">
        <v>37</v>
      </c>
      <c r="F40" s="282" t="n">
        <v>50000000</v>
      </c>
      <c r="G40" s="283" t="n">
        <v>1850000000</v>
      </c>
    </row>
    <row r="41" ht="29.25" customHeight="1">
      <c r="A41" s="71" t="inlineStr">
        <is>
          <t>SUMINISTRO</t>
        </is>
      </c>
      <c r="B41" s="58" t="inlineStr">
        <is>
          <t>2.2.100</t>
        </is>
      </c>
      <c r="C41" s="59" t="inlineStr">
        <is>
          <t>Estaciones base — red móvil broadband ferroviaria (complemento TETRA — tecnología por RFQ)</t>
        </is>
      </c>
      <c r="D41" s="58" t="inlineStr">
        <is>
          <t>UND</t>
        </is>
      </c>
      <c r="E41" s="58" t="n">
        <v>37</v>
      </c>
      <c r="F41" s="282" t="n">
        <v>45000000</v>
      </c>
      <c r="G41" s="283" t="n">
        <v>1665000000</v>
      </c>
    </row>
    <row r="42" ht="29.25" customHeight="1">
      <c r="A42" s="71" t="inlineStr">
        <is>
          <t>SUMINISTRO</t>
        </is>
      </c>
      <c r="B42" s="58" t="inlineStr">
        <is>
          <t>2.2.101</t>
        </is>
      </c>
      <c r="C42" s="59" t="inlineStr">
        <is>
          <t>Antenas — red móvil broadband ferroviaria (complemento TETRA — tecnología por RFQ)</t>
        </is>
      </c>
      <c r="D42" s="58" t="inlineStr">
        <is>
          <t>UND</t>
        </is>
      </c>
      <c r="E42" s="58" t="n">
        <v>37</v>
      </c>
      <c r="F42" s="282" t="n">
        <v>8000000</v>
      </c>
      <c r="G42" s="283" t="n">
        <v>296000000</v>
      </c>
    </row>
    <row r="43" ht="29.25" customHeight="1">
      <c r="A43" s="71" t="inlineStr">
        <is>
          <t>SUMINISTRO</t>
        </is>
      </c>
      <c r="B43" s="58" t="inlineStr">
        <is>
          <t>2.2.102</t>
        </is>
      </c>
      <c r="C43" s="59" t="inlineStr">
        <is>
          <t>Radios embarcados — red móvil broadband ferroviaria (complemento TETRA — tecnología por RFQ)</t>
        </is>
      </c>
      <c r="D43" s="58" t="inlineStr">
        <is>
          <t>UND</t>
        </is>
      </c>
      <c r="E43" s="58" t="n">
        <v>30</v>
      </c>
      <c r="F43" s="282" t="n">
        <v>25000000</v>
      </c>
      <c r="G43" s="283" t="n">
        <v>750000000</v>
      </c>
    </row>
    <row r="44" ht="29.25" customHeight="1">
      <c r="A44" s="71" t="inlineStr">
        <is>
          <t>SUMINISTRO</t>
        </is>
      </c>
      <c r="B44" s="58" t="inlineStr">
        <is>
          <t>2.2.103</t>
        </is>
      </c>
      <c r="C44" s="59" t="inlineStr">
        <is>
          <t>Sistema control — red móvil broadband ferroviaria (complemento TETRA)</t>
        </is>
      </c>
      <c r="D44" s="58" t="inlineStr">
        <is>
          <t>UND</t>
        </is>
      </c>
      <c r="E44" s="58" t="n">
        <v>1</v>
      </c>
      <c r="F44" s="282" t="n">
        <v>80000000</v>
      </c>
      <c r="G44" s="283" t="n">
        <v>80000000</v>
      </c>
    </row>
    <row r="45">
      <c r="A45" s="71" t="inlineStr">
        <is>
          <t>SUMINISTRO</t>
        </is>
      </c>
      <c r="B45" s="58" t="inlineStr">
        <is>
          <t>2.2.104</t>
        </is>
      </c>
      <c r="C45" s="59" t="inlineStr">
        <is>
          <t>Interfaces TETRA — red móvil broadband ferroviaria</t>
        </is>
      </c>
      <c r="D45" s="58" t="inlineStr">
        <is>
          <t>UND</t>
        </is>
      </c>
      <c r="E45" s="58" t="n">
        <v>37</v>
      </c>
      <c r="F45" s="282" t="n">
        <v>5000000</v>
      </c>
      <c r="G45" s="283" t="n">
        <v>185000000</v>
      </c>
    </row>
    <row r="46">
      <c r="A46" s="71" t="inlineStr">
        <is>
          <t>SUMINISTRO</t>
        </is>
      </c>
      <c r="B46" s="58" t="inlineStr">
        <is>
          <t>2.2.105</t>
        </is>
      </c>
      <c r="C46" s="59" t="inlineStr">
        <is>
          <t>Sistema redundancia</t>
        </is>
      </c>
      <c r="D46" s="58" t="inlineStr">
        <is>
          <t>UND</t>
        </is>
      </c>
      <c r="E46" s="58" t="n">
        <v>1</v>
      </c>
      <c r="F46" s="282" t="n">
        <v>150000000</v>
      </c>
      <c r="G46" s="283" t="n">
        <v>150000000</v>
      </c>
    </row>
    <row r="47">
      <c r="A47" s="71" t="inlineStr">
        <is>
          <t>SUMINISTRO</t>
        </is>
      </c>
      <c r="B47" s="58" t="inlineStr">
        <is>
          <t>2.2.108</t>
        </is>
      </c>
      <c r="C47" s="59" t="inlineStr">
        <is>
          <t>Repuestos (10%)</t>
        </is>
      </c>
      <c r="D47" s="58" t="inlineStr">
        <is>
          <t>UND</t>
        </is>
      </c>
      <c r="E47" s="58" t="n">
        <v>1</v>
      </c>
      <c r="F47" s="282" t="n">
        <v>312000000</v>
      </c>
      <c r="G47" s="283" t="n">
        <v>312000000</v>
      </c>
    </row>
    <row r="48" ht="29.25" customHeight="1">
      <c r="A48" s="71" t="inlineStr">
        <is>
          <t>SUMINISTRO</t>
        </is>
      </c>
      <c r="B48" s="58" t="inlineStr">
        <is>
          <t>2.3.100</t>
        </is>
      </c>
      <c r="C48" s="59" t="inlineStr">
        <is>
          <t>Cable fibra óptica monomodo 48 hilos G.652.D OSP (BCD §6.1.1 — solución homogénea 526km + 10% gasa técnica)</t>
        </is>
      </c>
      <c r="D48" s="58" t="inlineStr">
        <is>
          <t>KM</t>
        </is>
      </c>
      <c r="E48" s="58" t="n">
        <v>579</v>
      </c>
      <c r="F48" s="282" t="n">
        <v>9811013</v>
      </c>
      <c r="G48" s="283" t="n">
        <v>5680576527</v>
      </c>
    </row>
    <row r="49">
      <c r="A49" s="71" t="inlineStr">
        <is>
          <t>SUMINISTRO</t>
        </is>
      </c>
      <c r="B49" s="58" t="inlineStr">
        <is>
          <t>2.3.102</t>
        </is>
      </c>
      <c r="C49" s="59" t="inlineStr">
        <is>
          <t>Tritubo 40mm</t>
        </is>
      </c>
      <c r="D49" s="58" t="inlineStr">
        <is>
          <t>ROLLO</t>
        </is>
      </c>
      <c r="E49" s="58" t="n">
        <v>1448</v>
      </c>
      <c r="F49" s="282" t="n">
        <v>15845</v>
      </c>
      <c r="G49" s="283" t="n">
        <v>22943560</v>
      </c>
    </row>
    <row r="50">
      <c r="A50" s="71" t="inlineStr">
        <is>
          <t>SUMINISTRO</t>
        </is>
      </c>
      <c r="B50" s="58" t="inlineStr">
        <is>
          <t>2.3.103</t>
        </is>
      </c>
      <c r="C50" s="59" t="inlineStr">
        <is>
          <t>Cajas empalme 80x80</t>
        </is>
      </c>
      <c r="D50" s="58" t="inlineStr">
        <is>
          <t>UND</t>
        </is>
      </c>
      <c r="E50" s="58" t="n">
        <v>1930</v>
      </c>
      <c r="F50" s="282" t="n">
        <v>1350000</v>
      </c>
      <c r="G50" s="283" t="n">
        <v>2605500000</v>
      </c>
    </row>
    <row r="51">
      <c r="A51" s="71" t="inlineStr">
        <is>
          <t>SUMINISTRO</t>
        </is>
      </c>
      <c r="B51" s="58" t="inlineStr">
        <is>
          <t>2.3.104</t>
        </is>
      </c>
      <c r="C51" s="59" t="inlineStr">
        <is>
          <t>Uniones rápidas</t>
        </is>
      </c>
      <c r="D51" s="58" t="inlineStr">
        <is>
          <t>UND</t>
        </is>
      </c>
      <c r="E51" s="58" t="n">
        <v>5790</v>
      </c>
      <c r="F51" s="282" t="n">
        <v>35000</v>
      </c>
      <c r="G51" s="283" t="n">
        <v>202650000</v>
      </c>
    </row>
    <row r="52">
      <c r="A52" s="71" t="inlineStr">
        <is>
          <t>SUMINISTRO</t>
        </is>
      </c>
      <c r="B52" s="58" t="inlineStr">
        <is>
          <t>2.3.105</t>
        </is>
      </c>
      <c r="C52" s="59" t="inlineStr">
        <is>
          <t>Fusionadoras</t>
        </is>
      </c>
      <c r="D52" s="58" t="inlineStr">
        <is>
          <t>UND</t>
        </is>
      </c>
      <c r="E52" s="58" t="n">
        <v>2</v>
      </c>
      <c r="F52" s="282" t="n">
        <v>50000000</v>
      </c>
      <c r="G52" s="283" t="n">
        <v>100000000</v>
      </c>
    </row>
    <row r="53">
      <c r="A53" s="71" t="inlineStr">
        <is>
          <t>SUMINISTRO</t>
        </is>
      </c>
      <c r="B53" s="58" t="inlineStr">
        <is>
          <t>2.3.106</t>
        </is>
      </c>
      <c r="C53" s="59" t="inlineStr">
        <is>
          <t>OTDR triwavelength (1310/1550/1625 nm)</t>
        </is>
      </c>
      <c r="D53" s="58" t="inlineStr">
        <is>
          <t>UND</t>
        </is>
      </c>
      <c r="E53" s="58" t="n">
        <v>2</v>
      </c>
      <c r="F53" s="282" t="n">
        <v>90000000</v>
      </c>
      <c r="G53" s="283" t="n">
        <v>180000000</v>
      </c>
    </row>
    <row r="54">
      <c r="A54" s="71" t="inlineStr">
        <is>
          <t>SUMINISTRO</t>
        </is>
      </c>
      <c r="B54" s="58" t="inlineStr">
        <is>
          <t>2.3.107</t>
        </is>
      </c>
      <c r="C54" s="59" t="inlineStr">
        <is>
          <t>Muflas fusionado</t>
        </is>
      </c>
      <c r="D54" s="58" t="inlineStr">
        <is>
          <t>UND</t>
        </is>
      </c>
      <c r="E54" s="58" t="n">
        <v>6800</v>
      </c>
      <c r="F54" s="282" t="n">
        <v>25000</v>
      </c>
      <c r="G54" s="283" t="n">
        <v>170000000</v>
      </c>
    </row>
    <row r="55">
      <c r="A55" s="71" t="inlineStr">
        <is>
          <t>SUMINISTRO</t>
        </is>
      </c>
      <c r="B55" s="58" t="inlineStr">
        <is>
          <t>2.3.108</t>
        </is>
      </c>
      <c r="C55" s="59" t="inlineStr">
        <is>
          <t>Insumos fusionado</t>
        </is>
      </c>
      <c r="D55" s="58" t="inlineStr">
        <is>
          <t>UND</t>
        </is>
      </c>
      <c r="E55" s="58" t="n">
        <v>6200</v>
      </c>
      <c r="F55" s="282" t="n">
        <v>15000</v>
      </c>
      <c r="G55" s="283" t="n">
        <v>93000000</v>
      </c>
    </row>
    <row r="56">
      <c r="A56" s="71" t="inlineStr">
        <is>
          <t>SUMINISTRO</t>
        </is>
      </c>
      <c r="B56" s="58" t="inlineStr">
        <is>
          <t>2.3.109</t>
        </is>
      </c>
      <c r="C56" s="59" t="inlineStr">
        <is>
          <t>Repuestos Estratégicos (Stock 3% Corredor)</t>
        </is>
      </c>
      <c r="D56" s="58" t="inlineStr">
        <is>
          <t>KM</t>
        </is>
      </c>
      <c r="E56" s="58" t="n">
        <v>16</v>
      </c>
      <c r="F56" s="282" t="n">
        <v>8000000</v>
      </c>
      <c r="G56" s="283" t="n">
        <v>128000000</v>
      </c>
    </row>
    <row r="57" ht="43.5" customHeight="1">
      <c r="A57" s="71" t="inlineStr">
        <is>
          <t>SUMINISTRO</t>
        </is>
      </c>
      <c r="B57" s="58" t="inlineStr">
        <is>
          <t>2.4.100</t>
        </is>
      </c>
      <c r="C57" s="59" t="inlineStr">
        <is>
          <t>Habilitación Satelital Transitoria (Punto 42) — 5 terminales LEO + 12 meses suscripción (DT-SICC-2026-042, cadena 9.12→25.4)</t>
        </is>
      </c>
      <c r="D57" s="58" t="inlineStr">
        <is>
          <t>GLB</t>
        </is>
      </c>
      <c r="E57" s="58" t="n">
        <v>1</v>
      </c>
      <c r="F57" s="282" t="n">
        <v>1200000000</v>
      </c>
      <c r="G57" s="283" t="n">
        <v>1200000000</v>
      </c>
    </row>
    <row r="58" ht="29.25" customHeight="1">
      <c r="A58" s="71" t="inlineStr">
        <is>
          <t>SUMINISTRO</t>
        </is>
      </c>
      <c r="B58" s="58" t="inlineStr">
        <is>
          <t>3.1.100</t>
        </is>
      </c>
      <c r="C58" s="59" t="inlineStr">
        <is>
          <t>Cámaras PAN PTZ 4MP (73 unidades - cobertura completa)</t>
        </is>
      </c>
      <c r="D58" s="58" t="inlineStr">
        <is>
          <t>UND</t>
        </is>
      </c>
      <c r="E58" s="58" t="n">
        <v>73</v>
      </c>
      <c r="F58" s="282" t="n">
        <v>30000000</v>
      </c>
      <c r="G58" s="283" t="n">
        <v>2190000000</v>
      </c>
    </row>
    <row r="59">
      <c r="A59" s="71" t="inlineStr">
        <is>
          <t>SUMINISTRO</t>
        </is>
      </c>
      <c r="B59" s="58" t="inlineStr">
        <is>
          <t>3.1.101</t>
        </is>
      </c>
      <c r="C59" s="59" t="inlineStr">
        <is>
          <t>Cámaras talleres (12 unidades)</t>
        </is>
      </c>
      <c r="D59" s="58" t="inlineStr">
        <is>
          <t>UND</t>
        </is>
      </c>
      <c r="E59" s="58" t="n">
        <v>12</v>
      </c>
      <c r="F59" s="282" t="n">
        <v>6000000</v>
      </c>
      <c r="G59" s="283" t="n">
        <v>72000000</v>
      </c>
    </row>
    <row r="60">
      <c r="A60" s="71" t="inlineStr">
        <is>
          <t>SUMINISTRO</t>
        </is>
      </c>
      <c r="B60" s="58" t="inlineStr">
        <is>
          <t>3.1.102</t>
        </is>
      </c>
      <c r="C60" s="59" t="inlineStr">
        <is>
          <t>Cámaras CCO (8 unidades)</t>
        </is>
      </c>
      <c r="D60" s="58" t="inlineStr">
        <is>
          <t>UND</t>
        </is>
      </c>
      <c r="E60" s="58" t="n">
        <v>8</v>
      </c>
      <c r="F60" s="282" t="n">
        <v>10000000</v>
      </c>
      <c r="G60" s="283" t="n">
        <v>80000000</v>
      </c>
    </row>
    <row r="61">
      <c r="A61" s="71" t="inlineStr">
        <is>
          <t>SUMINISTRO</t>
        </is>
      </c>
      <c r="B61" s="58" t="inlineStr">
        <is>
          <t>3.1.103</t>
        </is>
      </c>
      <c r="C61" s="59" t="inlineStr">
        <is>
          <t>Cámaras estaciones (5 unidades)</t>
        </is>
      </c>
      <c r="D61" s="58" t="inlineStr">
        <is>
          <t>UND</t>
        </is>
      </c>
      <c r="E61" s="58" t="n">
        <v>5</v>
      </c>
      <c r="F61" s="282" t="n">
        <v>7000000</v>
      </c>
      <c r="G61" s="283" t="n">
        <v>35000000</v>
      </c>
    </row>
    <row r="62">
      <c r="A62" s="71" t="inlineStr">
        <is>
          <t>SUMINISTRO</t>
        </is>
      </c>
      <c r="B62" s="58" t="inlineStr">
        <is>
          <t>3.1.104</t>
        </is>
      </c>
      <c r="C62" s="59" t="inlineStr">
        <is>
          <t>Sistema grabación</t>
        </is>
      </c>
      <c r="D62" s="58" t="inlineStr">
        <is>
          <t>UND</t>
        </is>
      </c>
      <c r="E62" s="58" t="n">
        <v>1</v>
      </c>
      <c r="F62" s="282" t="n">
        <v>150000000</v>
      </c>
      <c r="G62" s="283" t="n">
        <v>150000000</v>
      </c>
    </row>
    <row r="63">
      <c r="A63" s="71" t="inlineStr">
        <is>
          <t>SUMINISTRO</t>
        </is>
      </c>
      <c r="B63" s="58" t="inlineStr">
        <is>
          <t>3.1.105</t>
        </is>
      </c>
      <c r="C63" s="59" t="inlineStr">
        <is>
          <t>Servidores almacenamiento</t>
        </is>
      </c>
      <c r="D63" s="58" t="inlineStr">
        <is>
          <t>UND</t>
        </is>
      </c>
      <c r="E63" s="58" t="n">
        <v>2</v>
      </c>
      <c r="F63" s="282" t="n">
        <v>80000000</v>
      </c>
      <c r="G63" s="283" t="n">
        <v>160000000</v>
      </c>
    </row>
    <row r="64">
      <c r="A64" s="71" t="inlineStr">
        <is>
          <t>SUMINISTRO</t>
        </is>
      </c>
      <c r="B64" s="58" t="inlineStr">
        <is>
          <t>3.1.106</t>
        </is>
      </c>
      <c r="C64" s="59" t="inlineStr">
        <is>
          <t>Software análisis</t>
        </is>
      </c>
      <c r="D64" s="58" t="inlineStr">
        <is>
          <t>UND</t>
        </is>
      </c>
      <c r="E64" s="58" t="n">
        <v>1</v>
      </c>
      <c r="F64" s="282" t="n">
        <v>120000000</v>
      </c>
      <c r="G64" s="283" t="n">
        <v>120000000</v>
      </c>
    </row>
    <row r="65">
      <c r="A65" s="71" t="inlineStr">
        <is>
          <t>SUMINISTRO</t>
        </is>
      </c>
      <c r="B65" s="58" t="inlineStr">
        <is>
          <t>3.1.107</t>
        </is>
      </c>
      <c r="C65" s="59" t="inlineStr">
        <is>
          <t>Monitores CCO</t>
        </is>
      </c>
      <c r="D65" s="58" t="inlineStr">
        <is>
          <t>UND</t>
        </is>
      </c>
      <c r="E65" s="58" t="n">
        <v>8</v>
      </c>
      <c r="F65" s="282" t="n">
        <v>15000000</v>
      </c>
      <c r="G65" s="283" t="n">
        <v>120000000</v>
      </c>
    </row>
    <row r="66">
      <c r="A66" s="71" t="inlineStr">
        <is>
          <t>SUMINISTRO</t>
        </is>
      </c>
      <c r="B66" s="58" t="inlineStr">
        <is>
          <t>3.1.109</t>
        </is>
      </c>
      <c r="C66" s="59" t="inlineStr">
        <is>
          <t>Repuestos (10%)</t>
        </is>
      </c>
      <c r="D66" s="58" t="inlineStr">
        <is>
          <t>UND</t>
        </is>
      </c>
      <c r="E66" s="58" t="n">
        <v>1</v>
      </c>
      <c r="F66" s="282" t="n">
        <v>307300000</v>
      </c>
      <c r="G66" s="283" t="n">
        <v>307300000</v>
      </c>
    </row>
    <row r="67">
      <c r="A67" s="71" t="inlineStr">
        <is>
          <t>SUMINISTRO</t>
        </is>
      </c>
      <c r="B67" s="58" t="inlineStr">
        <is>
          <t>3.2.100</t>
        </is>
      </c>
      <c r="C67" s="59" t="inlineStr">
        <is>
          <t>Lectores RFID control accesos (ISO 14443, IP65/IK10)</t>
        </is>
      </c>
      <c r="D67" s="58" t="inlineStr">
        <is>
          <t>UND</t>
        </is>
      </c>
      <c r="E67" s="58" t="n">
        <v>100</v>
      </c>
      <c r="F67" s="282" t="n">
        <v>3000000</v>
      </c>
      <c r="G67" s="283" t="n">
        <v>300000000</v>
      </c>
    </row>
    <row r="68">
      <c r="A68" s="71" t="inlineStr">
        <is>
          <t>SUMINISTRO</t>
        </is>
      </c>
      <c r="B68" s="58" t="inlineStr">
        <is>
          <t>3.2.101</t>
        </is>
      </c>
      <c r="C68" s="59" t="inlineStr">
        <is>
          <t>Tarjetas RFID</t>
        </is>
      </c>
      <c r="D68" s="58" t="inlineStr">
        <is>
          <t>UND</t>
        </is>
      </c>
      <c r="E68" s="58" t="n">
        <v>1000</v>
      </c>
      <c r="F68" s="282" t="n">
        <v>25000</v>
      </c>
      <c r="G68" s="283" t="n">
        <v>25000000</v>
      </c>
    </row>
    <row r="69">
      <c r="A69" s="71" t="inlineStr">
        <is>
          <t>SUMINISTRO</t>
        </is>
      </c>
      <c r="B69" s="58" t="inlineStr">
        <is>
          <t>3.2.102</t>
        </is>
      </c>
      <c r="C69" s="59" t="inlineStr">
        <is>
          <t>Sistema biométrico</t>
        </is>
      </c>
      <c r="D69" s="58" t="inlineStr">
        <is>
          <t>UND</t>
        </is>
      </c>
      <c r="E69" s="58" t="n">
        <v>5</v>
      </c>
      <c r="F69" s="282" t="n">
        <v>50000000</v>
      </c>
      <c r="G69" s="283" t="n">
        <v>250000000</v>
      </c>
    </row>
    <row r="70">
      <c r="A70" s="71" t="inlineStr">
        <is>
          <t>SUMINISTRO</t>
        </is>
      </c>
      <c r="B70" s="58" t="inlineStr">
        <is>
          <t>3.2.103</t>
        </is>
      </c>
      <c r="C70" s="59" t="inlineStr">
        <is>
          <t>Software control accesos</t>
        </is>
      </c>
      <c r="D70" s="58" t="inlineStr">
        <is>
          <t>UND</t>
        </is>
      </c>
      <c r="E70" s="58" t="n">
        <v>1</v>
      </c>
      <c r="F70" s="282" t="n">
        <v>80000000</v>
      </c>
      <c r="G70" s="283" t="n">
        <v>80000000</v>
      </c>
    </row>
    <row r="71">
      <c r="A71" s="71" t="inlineStr">
        <is>
          <t>SUMINISTRO</t>
        </is>
      </c>
      <c r="B71" s="58" t="inlineStr">
        <is>
          <t>3.2.104</t>
        </is>
      </c>
      <c r="C71" s="59" t="inlineStr">
        <is>
          <t>Cerraduras electrónicas</t>
        </is>
      </c>
      <c r="D71" s="58" t="inlineStr">
        <is>
          <t>UND</t>
        </is>
      </c>
      <c r="E71" s="58" t="n">
        <v>50</v>
      </c>
      <c r="F71" s="282" t="n">
        <v>8000000</v>
      </c>
      <c r="G71" s="283" t="n">
        <v>400000000</v>
      </c>
    </row>
    <row r="72">
      <c r="A72" s="71" t="inlineStr">
        <is>
          <t>SUMINISTRO</t>
        </is>
      </c>
      <c r="B72" s="58" t="inlineStr">
        <is>
          <t>3.2.105</t>
        </is>
      </c>
      <c r="C72" s="59" t="inlineStr">
        <is>
          <t>Intercomunicadores</t>
        </is>
      </c>
      <c r="D72" s="58" t="inlineStr">
        <is>
          <t>UND</t>
        </is>
      </c>
      <c r="E72" s="58" t="n">
        <v>20</v>
      </c>
      <c r="F72" s="282" t="n">
        <v>15000000</v>
      </c>
      <c r="G72" s="283" t="n">
        <v>300000000</v>
      </c>
    </row>
    <row r="73">
      <c r="A73" s="71" t="inlineStr">
        <is>
          <t>SUMINISTRO</t>
        </is>
      </c>
      <c r="B73" s="58" t="inlineStr">
        <is>
          <t>3.2.107</t>
        </is>
      </c>
      <c r="C73" s="59" t="inlineStr">
        <is>
          <t>Repuestos (10%)</t>
        </is>
      </c>
      <c r="D73" s="58" t="inlineStr">
        <is>
          <t>UND</t>
        </is>
      </c>
      <c r="E73" s="58" t="n">
        <v>1</v>
      </c>
      <c r="F73" s="282" t="n">
        <v>145500000</v>
      </c>
      <c r="G73" s="283" t="n">
        <v>145500000</v>
      </c>
    </row>
    <row r="74">
      <c r="A74" s="71" t="inlineStr">
        <is>
          <t>SUMINISTRO</t>
        </is>
      </c>
      <c r="B74" s="58" t="inlineStr">
        <is>
          <t>3.3.100</t>
        </is>
      </c>
      <c r="C74" s="59" t="inlineStr">
        <is>
          <t>Detectores humo</t>
        </is>
      </c>
      <c r="D74" s="58" t="inlineStr">
        <is>
          <t>UND</t>
        </is>
      </c>
      <c r="E74" s="58" t="n">
        <v>200</v>
      </c>
      <c r="F74" s="282" t="n">
        <v>150000</v>
      </c>
      <c r="G74" s="283" t="n">
        <v>30000000</v>
      </c>
    </row>
    <row r="75">
      <c r="A75" s="71" t="inlineStr">
        <is>
          <t>SUMINISTRO</t>
        </is>
      </c>
      <c r="B75" s="58" t="inlineStr">
        <is>
          <t>3.3.101</t>
        </is>
      </c>
      <c r="C75" s="59" t="inlineStr">
        <is>
          <t>Detectores temperatura</t>
        </is>
      </c>
      <c r="D75" s="58" t="inlineStr">
        <is>
          <t>UND</t>
        </is>
      </c>
      <c r="E75" s="58" t="n">
        <v>150</v>
      </c>
      <c r="F75" s="282" t="n">
        <v>200000</v>
      </c>
      <c r="G75" s="283" t="n">
        <v>30000000</v>
      </c>
    </row>
    <row r="76">
      <c r="A76" s="71" t="inlineStr">
        <is>
          <t>SUMINISTRO</t>
        </is>
      </c>
      <c r="B76" s="58" t="inlineStr">
        <is>
          <t>3.3.102</t>
        </is>
      </c>
      <c r="C76" s="59" t="inlineStr">
        <is>
          <t>Sistema aspersores</t>
        </is>
      </c>
      <c r="D76" s="58" t="inlineStr">
        <is>
          <t>UND</t>
        </is>
      </c>
      <c r="E76" s="58" t="n">
        <v>50</v>
      </c>
      <c r="F76" s="282" t="n">
        <v>800000</v>
      </c>
      <c r="G76" s="283" t="n">
        <v>40000000</v>
      </c>
    </row>
    <row r="77">
      <c r="A77" s="71" t="inlineStr">
        <is>
          <t>SUMINISTRO</t>
        </is>
      </c>
      <c r="B77" s="58" t="inlineStr">
        <is>
          <t>3.3.103</t>
        </is>
      </c>
      <c r="C77" s="59" t="inlineStr">
        <is>
          <t>Extintores</t>
        </is>
      </c>
      <c r="D77" s="58" t="inlineStr">
        <is>
          <t>UND</t>
        </is>
      </c>
      <c r="E77" s="58" t="n">
        <v>100</v>
      </c>
      <c r="F77" s="282" t="n">
        <v>500000</v>
      </c>
      <c r="G77" s="283" t="n">
        <v>50000000</v>
      </c>
    </row>
    <row r="78">
      <c r="A78" s="71" t="inlineStr">
        <is>
          <t>SUMINISTRO</t>
        </is>
      </c>
      <c r="B78" s="58" t="inlineStr">
        <is>
          <t>3.3.104</t>
        </is>
      </c>
      <c r="C78" s="59" t="inlineStr">
        <is>
          <t>Sistema alarma</t>
        </is>
      </c>
      <c r="D78" s="58" t="inlineStr">
        <is>
          <t>UND</t>
        </is>
      </c>
      <c r="E78" s="58" t="n">
        <v>1</v>
      </c>
      <c r="F78" s="282" t="n">
        <v>120000000</v>
      </c>
      <c r="G78" s="283" t="n">
        <v>120000000</v>
      </c>
    </row>
    <row r="79">
      <c r="A79" s="71" t="inlineStr">
        <is>
          <t>SUMINISTRO</t>
        </is>
      </c>
      <c r="B79" s="58" t="inlineStr">
        <is>
          <t>3.3.105</t>
        </is>
      </c>
      <c r="C79" s="59" t="inlineStr">
        <is>
          <t>Botones emergencia</t>
        </is>
      </c>
      <c r="D79" s="58" t="inlineStr">
        <is>
          <t>UND</t>
        </is>
      </c>
      <c r="E79" s="58" t="n">
        <v>30</v>
      </c>
      <c r="F79" s="282" t="n">
        <v>500000</v>
      </c>
      <c r="G79" s="283" t="n">
        <v>15000000</v>
      </c>
    </row>
    <row r="80">
      <c r="A80" s="71" t="inlineStr">
        <is>
          <t>SUMINISTRO</t>
        </is>
      </c>
      <c r="B80" s="58" t="inlineStr">
        <is>
          <t>3.3.106</t>
        </is>
      </c>
      <c r="C80" s="59" t="inlineStr">
        <is>
          <t>Instalación</t>
        </is>
      </c>
      <c r="D80" s="58" t="inlineStr">
        <is>
          <t>UND</t>
        </is>
      </c>
      <c r="E80" s="58" t="n">
        <v>1</v>
      </c>
      <c r="F80" s="282" t="n">
        <v>80000000</v>
      </c>
      <c r="G80" s="283" t="n">
        <v>80000000</v>
      </c>
    </row>
    <row r="81">
      <c r="A81" s="71" t="inlineStr">
        <is>
          <t>SUMINISTRO</t>
        </is>
      </c>
      <c r="B81" s="58" t="inlineStr">
        <is>
          <t>3.3.107</t>
        </is>
      </c>
      <c r="C81" s="59" t="inlineStr">
        <is>
          <t>Repuestos (10%)</t>
        </is>
      </c>
      <c r="D81" s="58" t="inlineStr">
        <is>
          <t>UND</t>
        </is>
      </c>
      <c r="E81" s="58" t="n">
        <v>1</v>
      </c>
      <c r="F81" s="282" t="n">
        <v>36500000</v>
      </c>
      <c r="G81" s="283" t="n">
        <v>36500000</v>
      </c>
    </row>
    <row r="82" ht="29.25" customHeight="1">
      <c r="A82" s="71" t="inlineStr">
        <is>
          <t>SUMINISTRO</t>
        </is>
      </c>
      <c r="B82" s="58" t="inlineStr">
        <is>
          <t>4.1.100</t>
        </is>
      </c>
      <c r="C82" s="59" t="inlineStr">
        <is>
          <t>Sistemas barreras automáticas SIL-3 vital (FRA Part 236 Subpart I)</t>
        </is>
      </c>
      <c r="D82" s="58" t="inlineStr">
        <is>
          <t>UND</t>
        </is>
      </c>
      <c r="E82" s="58" t="n">
        <v>9</v>
      </c>
      <c r="F82" s="282" t="n">
        <v>180000000</v>
      </c>
      <c r="G82" s="283" t="n">
        <v>1620000000</v>
      </c>
    </row>
    <row r="83">
      <c r="A83" s="71" t="inlineStr">
        <is>
          <t>SUMINISTRO</t>
        </is>
      </c>
      <c r="B83" s="58" t="inlineStr">
        <is>
          <t>4.1.101</t>
        </is>
      </c>
      <c r="C83" s="59" t="inlineStr">
        <is>
          <t>Senalización LED (Res. 20243040045005)</t>
        </is>
      </c>
      <c r="D83" s="58" t="inlineStr">
        <is>
          <t>UND</t>
        </is>
      </c>
      <c r="E83" s="58" t="n">
        <v>9</v>
      </c>
      <c r="F83" s="282" t="n">
        <v>80000000</v>
      </c>
      <c r="G83" s="283" t="n">
        <v>720000000</v>
      </c>
    </row>
    <row r="84" ht="29.25" customHeight="1">
      <c r="A84" s="71" t="inlineStr">
        <is>
          <t>SUMINISTRO</t>
        </is>
      </c>
      <c r="B84" s="58" t="inlineStr">
        <is>
          <t>4.1.102</t>
        </is>
      </c>
      <c r="C84" s="59" t="inlineStr">
        <is>
          <t>Sistemas detección vehículos SIL-3 vital (FRA Part 236 Subpart I)</t>
        </is>
      </c>
      <c r="D84" s="58" t="inlineStr">
        <is>
          <t>UND</t>
        </is>
      </c>
      <c r="E84" s="58" t="n">
        <v>9</v>
      </c>
      <c r="F84" s="282" t="n">
        <v>360000000</v>
      </c>
      <c r="G84" s="283" t="n">
        <v>3240000000</v>
      </c>
    </row>
    <row r="85">
      <c r="A85" s="71" t="inlineStr">
        <is>
          <t>SUMINISTRO</t>
        </is>
      </c>
      <c r="B85" s="58" t="inlineStr">
        <is>
          <t>4.1.103</t>
        </is>
      </c>
      <c r="C85" s="59" t="inlineStr">
        <is>
          <t>Sistemas comunicación</t>
        </is>
      </c>
      <c r="D85" s="58" t="inlineStr">
        <is>
          <t>UND</t>
        </is>
      </c>
      <c r="E85" s="58" t="n">
        <v>9</v>
      </c>
      <c r="F85" s="282" t="n">
        <v>60000000</v>
      </c>
      <c r="G85" s="283" t="n">
        <v>540000000</v>
      </c>
    </row>
    <row r="86">
      <c r="A86" s="71" t="inlineStr">
        <is>
          <t>SUMINISTRO</t>
        </is>
      </c>
      <c r="B86" s="58" t="inlineStr">
        <is>
          <t>4.1.104</t>
        </is>
      </c>
      <c r="C86" s="59" t="inlineStr">
        <is>
          <t>Sistemas emergencia SIL-3 vital (FRA Part 236 Subpart I)</t>
        </is>
      </c>
      <c r="D86" s="58" t="inlineStr">
        <is>
          <t>UND</t>
        </is>
      </c>
      <c r="E86" s="58" t="n">
        <v>9</v>
      </c>
      <c r="F86" s="282" t="n">
        <v>40000000</v>
      </c>
      <c r="G86" s="283" t="n">
        <v>360000000</v>
      </c>
    </row>
    <row r="87">
      <c r="A87" s="71" t="inlineStr">
        <is>
          <t>SUMINISTRO</t>
        </is>
      </c>
      <c r="B87" s="58" t="inlineStr">
        <is>
          <t>4.1.106</t>
        </is>
      </c>
      <c r="C87" s="59" t="inlineStr">
        <is>
          <t>Repuestos (10%)</t>
        </is>
      </c>
      <c r="D87" s="58" t="inlineStr">
        <is>
          <t>UND</t>
        </is>
      </c>
      <c r="E87" s="58" t="n">
        <v>1</v>
      </c>
      <c r="F87" s="282" t="n">
        <v>828000000</v>
      </c>
      <c r="G87" s="283" t="n">
        <v>828000000</v>
      </c>
    </row>
    <row r="88" ht="29.25" customHeight="1">
      <c r="A88" s="71" t="inlineStr">
        <is>
          <t>SUMINISTRO</t>
        </is>
      </c>
      <c r="B88" s="58" t="inlineStr">
        <is>
          <t>4.2.100</t>
        </is>
      </c>
      <c r="C88" s="59" t="inlineStr">
        <is>
          <t>Señales Luminosas y Acústicas (SLA) — PaN Tipo B (BCD §8.2.1, NTC 4741:1999). VU pendiente RFQ COL.</t>
        </is>
      </c>
      <c r="D88" s="58" t="inlineStr">
        <is>
          <t>UND</t>
        </is>
      </c>
      <c r="E88" s="58" t="n">
        <v>15</v>
      </c>
      <c r="F88" s="282" t="n">
        <v>120000000</v>
      </c>
      <c r="G88" s="283" t="n">
        <v>1800000000</v>
      </c>
    </row>
    <row r="89">
      <c r="A89" s="71" t="inlineStr">
        <is>
          <t>SUMINISTRO</t>
        </is>
      </c>
      <c r="B89" s="58" t="inlineStr">
        <is>
          <t>4.2.101</t>
        </is>
      </c>
      <c r="C89" s="59" t="inlineStr">
        <is>
          <t>Senalización basica (Res. 20243040045005)</t>
        </is>
      </c>
      <c r="D89" s="58" t="inlineStr">
        <is>
          <t>UND</t>
        </is>
      </c>
      <c r="E89" s="58" t="n">
        <v>15</v>
      </c>
      <c r="F89" s="282" t="n">
        <v>50000000</v>
      </c>
      <c r="G89" s="283" t="n">
        <v>750000000</v>
      </c>
    </row>
    <row r="90">
      <c r="A90" s="71" t="inlineStr">
        <is>
          <t>SUMINISTRO</t>
        </is>
      </c>
      <c r="B90" s="58" t="inlineStr">
        <is>
          <t>4.2.102</t>
        </is>
      </c>
      <c r="C90" s="59" t="inlineStr">
        <is>
          <t>Sistemas detección</t>
        </is>
      </c>
      <c r="D90" s="58" t="inlineStr">
        <is>
          <t>UND</t>
        </is>
      </c>
      <c r="E90" s="58" t="n">
        <v>15</v>
      </c>
      <c r="F90" s="282" t="n">
        <v>80000000</v>
      </c>
      <c r="G90" s="283" t="n">
        <v>1200000000</v>
      </c>
    </row>
    <row r="91">
      <c r="A91" s="71" t="inlineStr">
        <is>
          <t>SUMINISTRO</t>
        </is>
      </c>
      <c r="B91" s="58" t="inlineStr">
        <is>
          <t>4.2.103</t>
        </is>
      </c>
      <c r="C91" s="59" t="inlineStr">
        <is>
          <t>Sistemas comunicación</t>
        </is>
      </c>
      <c r="D91" s="58" t="inlineStr">
        <is>
          <t>UND</t>
        </is>
      </c>
      <c r="E91" s="58" t="n">
        <v>15</v>
      </c>
      <c r="F91" s="282" t="n">
        <v>40000000</v>
      </c>
      <c r="G91" s="283" t="n">
        <v>600000000</v>
      </c>
    </row>
    <row r="92">
      <c r="A92" s="71" t="inlineStr">
        <is>
          <t>SUMINISTRO</t>
        </is>
      </c>
      <c r="B92" s="58" t="inlineStr">
        <is>
          <t>4.2.104</t>
        </is>
      </c>
      <c r="C92" s="59" t="inlineStr">
        <is>
          <t>Instalación</t>
        </is>
      </c>
      <c r="D92" s="58" t="inlineStr">
        <is>
          <t>UND</t>
        </is>
      </c>
      <c r="E92" s="58" t="n">
        <v>15</v>
      </c>
      <c r="F92" s="282" t="n">
        <v>60000000</v>
      </c>
      <c r="G92" s="283" t="n">
        <v>900000000</v>
      </c>
    </row>
    <row r="93">
      <c r="A93" s="71" t="inlineStr">
        <is>
          <t>SUMINISTRO</t>
        </is>
      </c>
      <c r="B93" s="58" t="inlineStr">
        <is>
          <t>4.2.105</t>
        </is>
      </c>
      <c r="C93" s="59" t="inlineStr">
        <is>
          <t>Repuestos (10%)</t>
        </is>
      </c>
      <c r="D93" s="58" t="inlineStr">
        <is>
          <t>UND</t>
        </is>
      </c>
      <c r="E93" s="58" t="n">
        <v>1</v>
      </c>
      <c r="F93" s="282" t="n">
        <v>525000000</v>
      </c>
      <c r="G93" s="283" t="n">
        <v>525000000</v>
      </c>
    </row>
    <row r="94">
      <c r="A94" s="71" t="inlineStr">
        <is>
          <t>SUMINISTRO</t>
        </is>
      </c>
      <c r="B94" s="58" t="inlineStr">
        <is>
          <t>4.3.100</t>
        </is>
      </c>
      <c r="C94" s="59" t="inlineStr">
        <is>
          <t>Senalización basica (Manual 2024 / Res. 20243040045005)</t>
        </is>
      </c>
      <c r="D94" s="58" t="inlineStr">
        <is>
          <t>UND</t>
        </is>
      </c>
      <c r="E94" s="58" t="n">
        <v>122</v>
      </c>
      <c r="F94" s="282" t="n">
        <v>25000000</v>
      </c>
      <c r="G94" s="283" t="n">
        <v>3050000000</v>
      </c>
    </row>
    <row r="95">
      <c r="A95" s="71" t="inlineStr">
        <is>
          <t>SUMINISTRO</t>
        </is>
      </c>
      <c r="B95" s="58" t="inlineStr">
        <is>
          <t>4.3.103</t>
        </is>
      </c>
      <c r="C95" s="59" t="inlineStr">
        <is>
          <t>Repuestos (10%)</t>
        </is>
      </c>
      <c r="D95" s="58" t="inlineStr">
        <is>
          <t>UND</t>
        </is>
      </c>
      <c r="E95" s="58" t="n">
        <v>1</v>
      </c>
      <c r="F95" s="282" t="n">
        <v>305000000</v>
      </c>
      <c r="G95" s="283" t="n">
        <v>305000000</v>
      </c>
    </row>
    <row r="96">
      <c r="A96" s="71" t="inlineStr">
        <is>
          <t>SUMINISTRO</t>
        </is>
      </c>
      <c r="B96" s="58" t="inlineStr">
        <is>
          <t>5.1.100</t>
        </is>
      </c>
      <c r="C96" s="59" t="inlineStr">
        <is>
          <t>Construcción edificio</t>
        </is>
      </c>
      <c r="D96" s="58" t="inlineStr">
        <is>
          <t>UND</t>
        </is>
      </c>
      <c r="E96" s="58" t="n">
        <v>1</v>
      </c>
      <c r="F96" s="282" t="n">
        <v>2500000000</v>
      </c>
      <c r="G96" s="283" t="n">
        <v>2500000000</v>
      </c>
    </row>
    <row r="97">
      <c r="A97" s="71" t="inlineStr">
        <is>
          <t>SUMINISTRO</t>
        </is>
      </c>
      <c r="B97" s="58" t="inlineStr">
        <is>
          <t>5.1.101</t>
        </is>
      </c>
      <c r="C97" s="59" t="inlineStr">
        <is>
          <t>Sala de control</t>
        </is>
      </c>
      <c r="D97" s="58" t="inlineStr">
        <is>
          <t>UND</t>
        </is>
      </c>
      <c r="E97" s="58" t="n">
        <v>1</v>
      </c>
      <c r="F97" s="282" t="n">
        <v>800000000</v>
      </c>
      <c r="G97" s="283" t="n">
        <v>800000000</v>
      </c>
    </row>
    <row r="98">
      <c r="A98" s="71" t="inlineStr">
        <is>
          <t>SUMINISTRO</t>
        </is>
      </c>
      <c r="B98" s="58" t="inlineStr">
        <is>
          <t>5.1.102</t>
        </is>
      </c>
      <c r="C98" s="59" t="inlineStr">
        <is>
          <t>Sistemas HVAC</t>
        </is>
      </c>
      <c r="D98" s="58" t="inlineStr">
        <is>
          <t>UND</t>
        </is>
      </c>
      <c r="E98" s="58" t="n">
        <v>1</v>
      </c>
      <c r="F98" s="282" t="n">
        <v>300000000</v>
      </c>
      <c r="G98" s="283" t="n">
        <v>300000000</v>
      </c>
    </row>
    <row r="99">
      <c r="A99" s="71" t="inlineStr">
        <is>
          <t>SUMINISTRO</t>
        </is>
      </c>
      <c r="B99" s="58" t="inlineStr">
        <is>
          <t>5.1.103</t>
        </is>
      </c>
      <c r="C99" s="59" t="inlineStr">
        <is>
          <t>Sistemas eléctricos</t>
        </is>
      </c>
      <c r="D99" s="58" t="inlineStr">
        <is>
          <t>UND</t>
        </is>
      </c>
      <c r="E99" s="58" t="n">
        <v>1</v>
      </c>
      <c r="F99" s="282" t="n">
        <v>400000000</v>
      </c>
      <c r="G99" s="283" t="n">
        <v>400000000</v>
      </c>
    </row>
    <row r="100">
      <c r="A100" s="71" t="inlineStr">
        <is>
          <t>SUMINISTRO</t>
        </is>
      </c>
      <c r="B100" s="58" t="inlineStr">
        <is>
          <t>5.1.104</t>
        </is>
      </c>
      <c r="C100" s="59" t="inlineStr">
        <is>
          <t>Sistemas seguridad</t>
        </is>
      </c>
      <c r="D100" s="58" t="inlineStr">
        <is>
          <t>UND</t>
        </is>
      </c>
      <c r="E100" s="58" t="n">
        <v>1</v>
      </c>
      <c r="F100" s="282" t="n">
        <v>200000000</v>
      </c>
      <c r="G100" s="283" t="n">
        <v>200000000</v>
      </c>
    </row>
    <row r="101">
      <c r="A101" s="71" t="inlineStr">
        <is>
          <t>SUMINISTRO</t>
        </is>
      </c>
      <c r="B101" s="58" t="inlineStr">
        <is>
          <t>5.1.105</t>
        </is>
      </c>
      <c r="C101" s="59" t="inlineStr">
        <is>
          <t>Sistemas comunicaciones</t>
        </is>
      </c>
      <c r="D101" s="58" t="inlineStr">
        <is>
          <t>UND</t>
        </is>
      </c>
      <c r="E101" s="58" t="n">
        <v>1</v>
      </c>
      <c r="F101" s="282" t="n">
        <v>150000000</v>
      </c>
      <c r="G101" s="283" t="n">
        <v>150000000</v>
      </c>
    </row>
    <row r="102">
      <c r="A102" s="71" t="inlineStr">
        <is>
          <t>SUMINISTRO</t>
        </is>
      </c>
      <c r="B102" s="58" t="inlineStr">
        <is>
          <t>5.2.100</t>
        </is>
      </c>
      <c r="C102" s="59" t="inlineStr">
        <is>
          <t>Consolas operadores</t>
        </is>
      </c>
      <c r="D102" s="58" t="inlineStr">
        <is>
          <t>UND</t>
        </is>
      </c>
      <c r="E102" s="58" t="n">
        <v>8</v>
      </c>
      <c r="F102" s="282" t="n">
        <v>120000000</v>
      </c>
      <c r="G102" s="283" t="n">
        <v>960000000</v>
      </c>
    </row>
    <row r="103">
      <c r="A103" s="71" t="inlineStr">
        <is>
          <t>SUMINISTRO</t>
        </is>
      </c>
      <c r="B103" s="58" t="inlineStr">
        <is>
          <t>5.2.101</t>
        </is>
      </c>
      <c r="C103" s="59" t="inlineStr">
        <is>
          <t>Pantallas de video</t>
        </is>
      </c>
      <c r="D103" s="58" t="inlineStr">
        <is>
          <t>UND</t>
        </is>
      </c>
      <c r="E103" s="58" t="n">
        <v>16</v>
      </c>
      <c r="F103" s="282" t="n">
        <v>25000000</v>
      </c>
      <c r="G103" s="283" t="n">
        <v>400000000</v>
      </c>
    </row>
    <row r="104">
      <c r="A104" s="71" t="inlineStr">
        <is>
          <t>SUMINISTRO</t>
        </is>
      </c>
      <c r="B104" s="58" t="inlineStr">
        <is>
          <t>5.2.102</t>
        </is>
      </c>
      <c r="C104" s="59" t="inlineStr">
        <is>
          <t>Sistema audio</t>
        </is>
      </c>
      <c r="D104" s="58" t="inlineStr">
        <is>
          <t>UND</t>
        </is>
      </c>
      <c r="E104" s="58" t="n">
        <v>1</v>
      </c>
      <c r="F104" s="282" t="n">
        <v>80000000</v>
      </c>
      <c r="G104" s="283" t="n">
        <v>80000000</v>
      </c>
    </row>
    <row r="105">
      <c r="A105" s="71" t="inlineStr">
        <is>
          <t>SUMINISTRO</t>
        </is>
      </c>
      <c r="B105" s="58" t="inlineStr">
        <is>
          <t>5.2.103</t>
        </is>
      </c>
      <c r="C105" s="59" t="inlineStr">
        <is>
          <t>Sistema iluminación</t>
        </is>
      </c>
      <c r="D105" s="58" t="inlineStr">
        <is>
          <t>UND</t>
        </is>
      </c>
      <c r="E105" s="58" t="n">
        <v>1</v>
      </c>
      <c r="F105" s="282" t="n">
        <v>60000000</v>
      </c>
      <c r="G105" s="283" t="n">
        <v>60000000</v>
      </c>
    </row>
    <row r="106">
      <c r="A106" s="71" t="inlineStr">
        <is>
          <t>SUMINISTRO</t>
        </is>
      </c>
      <c r="B106" s="58" t="inlineStr">
        <is>
          <t>5.2.104</t>
        </is>
      </c>
      <c r="C106" s="59" t="inlineStr">
        <is>
          <t>Muebles y accesorios</t>
        </is>
      </c>
      <c r="D106" s="58" t="inlineStr">
        <is>
          <t>UND</t>
        </is>
      </c>
      <c r="E106" s="58" t="n">
        <v>1</v>
      </c>
      <c r="F106" s="282" t="n">
        <v>100000000</v>
      </c>
      <c r="G106" s="283" t="n">
        <v>100000000</v>
      </c>
    </row>
    <row r="107">
      <c r="A107" s="71" t="inlineStr">
        <is>
          <t>SUMINISTRO</t>
        </is>
      </c>
      <c r="B107" s="58" t="inlineStr">
        <is>
          <t>5.3.100</t>
        </is>
      </c>
      <c r="C107" s="59" t="inlineStr">
        <is>
          <t>Servidores SCADA</t>
        </is>
      </c>
      <c r="D107" s="58" t="inlineStr">
        <is>
          <t>UND</t>
        </is>
      </c>
      <c r="E107" s="58" t="n">
        <v>2</v>
      </c>
      <c r="F107" s="282" t="n">
        <v>400000000</v>
      </c>
      <c r="G107" s="283" t="n">
        <v>800000000</v>
      </c>
    </row>
    <row r="108">
      <c r="A108" s="71" t="inlineStr">
        <is>
          <t>SUMINISTRO</t>
        </is>
      </c>
      <c r="B108" s="58" t="inlineStr">
        <is>
          <t>5.3.101</t>
        </is>
      </c>
      <c r="C108" s="59" t="inlineStr">
        <is>
          <t>Software SCADA</t>
        </is>
      </c>
      <c r="D108" s="58" t="inlineStr">
        <is>
          <t>UND</t>
        </is>
      </c>
      <c r="E108" s="58" t="n">
        <v>1</v>
      </c>
      <c r="F108" s="282" t="n">
        <v>5000000000</v>
      </c>
      <c r="G108" s="283" t="n">
        <v>5000000000</v>
      </c>
    </row>
    <row r="109">
      <c r="A109" s="71" t="inlineStr">
        <is>
          <t>SUMINISTRO</t>
        </is>
      </c>
      <c r="B109" s="58" t="inlineStr">
        <is>
          <t>5.3.102</t>
        </is>
      </c>
      <c r="C109" s="59" t="inlineStr">
        <is>
          <t>Base de datos</t>
        </is>
      </c>
      <c r="D109" s="58" t="inlineStr">
        <is>
          <t>UND</t>
        </is>
      </c>
      <c r="E109" s="58" t="n">
        <v>1</v>
      </c>
      <c r="F109" s="282" t="n">
        <v>150000000</v>
      </c>
      <c r="G109" s="283" t="n">
        <v>150000000</v>
      </c>
    </row>
    <row r="110">
      <c r="A110" s="71" t="inlineStr">
        <is>
          <t>SUMINISTRO</t>
        </is>
      </c>
      <c r="B110" s="58" t="inlineStr">
        <is>
          <t>5.3.103</t>
        </is>
      </c>
      <c r="C110" s="59" t="inlineStr">
        <is>
          <t>Interfaces comunicación</t>
        </is>
      </c>
      <c r="D110" s="58" t="inlineStr">
        <is>
          <t>UND</t>
        </is>
      </c>
      <c r="E110" s="78" t="n">
        <v>1</v>
      </c>
      <c r="F110" s="282" t="n">
        <v>4112000000</v>
      </c>
      <c r="G110" s="283" t="n">
        <v>4112000000</v>
      </c>
    </row>
    <row r="111">
      <c r="A111" s="71" t="inlineStr">
        <is>
          <t>SUMINISTRO</t>
        </is>
      </c>
      <c r="B111" s="58" t="inlineStr">
        <is>
          <t>5.3.104</t>
        </is>
      </c>
      <c r="C111" s="59" t="inlineStr">
        <is>
          <t>Sistema redundancia</t>
        </is>
      </c>
      <c r="D111" s="58" t="inlineStr">
        <is>
          <t>UND</t>
        </is>
      </c>
      <c r="E111" s="58" t="n">
        <v>1</v>
      </c>
      <c r="F111" s="282" t="n">
        <v>300000000</v>
      </c>
      <c r="G111" s="283" t="n">
        <v>300000000</v>
      </c>
    </row>
    <row r="112">
      <c r="A112" s="71" t="inlineStr">
        <is>
          <t>SUMINISTRO</t>
        </is>
      </c>
      <c r="B112" s="58" t="inlineStr">
        <is>
          <t>6.1.100</t>
        </is>
      </c>
      <c r="C112" s="59" t="inlineStr">
        <is>
          <t>Sistemas PTC embarcados</t>
        </is>
      </c>
      <c r="D112" s="58" t="inlineStr">
        <is>
          <t>UND</t>
        </is>
      </c>
      <c r="E112" s="58" t="n">
        <v>15</v>
      </c>
      <c r="F112" s="282" t="n">
        <v>400000000</v>
      </c>
      <c r="G112" s="283" t="n">
        <v>6000000000</v>
      </c>
    </row>
    <row r="113">
      <c r="A113" s="71" t="inlineStr">
        <is>
          <t>SUMINISTRO</t>
        </is>
      </c>
      <c r="B113" s="58" t="inlineStr">
        <is>
          <t>6.1.101</t>
        </is>
      </c>
      <c r="C113" s="59" t="inlineStr">
        <is>
          <t>Radios TETRA embarcados</t>
        </is>
      </c>
      <c r="D113" s="58" t="inlineStr">
        <is>
          <t>UND</t>
        </is>
      </c>
      <c r="E113" s="58" t="n">
        <v>30</v>
      </c>
      <c r="F113" s="282" t="n">
        <v>35000000</v>
      </c>
      <c r="G113" s="283" t="n">
        <v>1050000000</v>
      </c>
    </row>
    <row r="114" ht="29.25" customHeight="1">
      <c r="A114" s="71" t="inlineStr">
        <is>
          <t>SUMINISTRO</t>
        </is>
      </c>
      <c r="B114" s="58" t="inlineStr">
        <is>
          <t>6.1.102</t>
        </is>
      </c>
      <c r="C114" s="59" t="inlineStr">
        <is>
          <t>Radios embarcados — red móvil broadband ferroviaria (complemento TETRA)</t>
        </is>
      </c>
      <c r="D114" s="58" t="inlineStr">
        <is>
          <t>UND</t>
        </is>
      </c>
      <c r="E114" s="78" t="n">
        <v>30</v>
      </c>
      <c r="F114" s="282" t="n">
        <v>25000000</v>
      </c>
      <c r="G114" s="283" t="n">
        <v>750000000</v>
      </c>
    </row>
    <row r="115">
      <c r="A115" s="71" t="inlineStr">
        <is>
          <t>SUMINISTRO</t>
        </is>
      </c>
      <c r="B115" s="58" t="inlineStr">
        <is>
          <t>6.1.103</t>
        </is>
      </c>
      <c r="C115" s="59" t="inlineStr">
        <is>
          <t>Sistemas GPS</t>
        </is>
      </c>
      <c r="D115" s="58" t="inlineStr">
        <is>
          <t>UND</t>
        </is>
      </c>
      <c r="E115" s="58" t="n">
        <v>15</v>
      </c>
      <c r="F115" s="282" t="n">
        <v>35000000</v>
      </c>
      <c r="G115" s="283" t="n">
        <v>525000000</v>
      </c>
    </row>
    <row r="116">
      <c r="A116" s="71" t="inlineStr">
        <is>
          <t>SUMINISTRO</t>
        </is>
      </c>
      <c r="B116" s="58" t="inlineStr">
        <is>
          <t>6.1.104</t>
        </is>
      </c>
      <c r="C116" s="59" t="inlineStr">
        <is>
          <t>Sistemas redundancia</t>
        </is>
      </c>
      <c r="D116" s="58" t="inlineStr">
        <is>
          <t>UND</t>
        </is>
      </c>
      <c r="E116" s="58" t="n">
        <v>15</v>
      </c>
      <c r="F116" s="282" t="n">
        <v>80000000</v>
      </c>
      <c r="G116" s="283" t="n">
        <v>1200000000</v>
      </c>
    </row>
    <row r="117">
      <c r="A117" s="71" t="inlineStr">
        <is>
          <t>SUMINISTRO</t>
        </is>
      </c>
      <c r="B117" s="58" t="inlineStr">
        <is>
          <t>6.1.106</t>
        </is>
      </c>
      <c r="C117" s="59" t="inlineStr">
        <is>
          <t>Repuestos (10%)</t>
        </is>
      </c>
      <c r="D117" s="58" t="inlineStr">
        <is>
          <t>UND</t>
        </is>
      </c>
      <c r="E117" s="58" t="n">
        <v>1</v>
      </c>
      <c r="F117" s="282" t="n">
        <v>1102500000</v>
      </c>
      <c r="G117" s="283" t="n">
        <v>1102500000</v>
      </c>
    </row>
    <row r="118">
      <c r="A118" s="71" t="inlineStr">
        <is>
          <t>SUMINISTRO</t>
        </is>
      </c>
      <c r="B118" s="58" t="inlineStr">
        <is>
          <t>6.2.100</t>
        </is>
      </c>
      <c r="C118" s="59" t="inlineStr">
        <is>
          <t>Dispositivos EOT completos</t>
        </is>
      </c>
      <c r="D118" s="58" t="inlineStr">
        <is>
          <t>UND</t>
        </is>
      </c>
      <c r="E118" s="58" t="n">
        <v>15</v>
      </c>
      <c r="F118" s="282" t="n">
        <v>25000000</v>
      </c>
      <c r="G118" s="283" t="n">
        <v>375000000</v>
      </c>
    </row>
    <row r="119">
      <c r="A119" s="71" t="inlineStr">
        <is>
          <t>SUMINISTRO</t>
        </is>
      </c>
      <c r="B119" s="58" t="inlineStr">
        <is>
          <t>6.2.101</t>
        </is>
      </c>
      <c r="C119" s="59" t="inlineStr">
        <is>
          <t>Repuestos EOT (10%)</t>
        </is>
      </c>
      <c r="D119" s="58" t="inlineStr">
        <is>
          <t>UND</t>
        </is>
      </c>
      <c r="E119" s="58" t="n">
        <v>2</v>
      </c>
      <c r="F119" s="282" t="n">
        <v>25000000</v>
      </c>
      <c r="G119" s="283" t="n">
        <v>50000000</v>
      </c>
    </row>
    <row r="120" ht="16.5" customHeight="1" thickBot="1">
      <c r="A120" s="73" t="inlineStr">
        <is>
          <t>SUMINISTRO</t>
        </is>
      </c>
      <c r="B120" s="74" t="inlineStr">
        <is>
          <t>6.2.102</t>
        </is>
      </c>
      <c r="C120" s="75" t="inlineStr">
        <is>
          <t>Instalación EOT</t>
        </is>
      </c>
      <c r="D120" s="74" t="inlineStr">
        <is>
          <t>UND</t>
        </is>
      </c>
      <c r="E120" s="74" t="n">
        <v>15</v>
      </c>
      <c r="F120" s="284" t="n">
        <v>5000000</v>
      </c>
      <c r="G120" s="285" t="n">
        <v>75000000</v>
      </c>
    </row>
    <row r="121" ht="16.5" customHeight="1" thickBot="1">
      <c r="A121" s="62" t="inlineStr"/>
      <c r="B121" s="62" t="inlineStr"/>
      <c r="C121" s="63" t="inlineStr">
        <is>
          <t>&gt;&gt;&gt; SUBTOTAL SUMINISTRO</t>
        </is>
      </c>
      <c r="D121" s="62" t="inlineStr"/>
      <c r="E121" s="80" t="n"/>
      <c r="F121" s="286" t="inlineStr"/>
      <c r="G121" s="286" t="n">
        <v>148755895087</v>
      </c>
    </row>
    <row r="122">
      <c r="A122" s="65" t="n"/>
      <c r="B122" s="66" t="n"/>
      <c r="C122" s="67" t="n"/>
      <c r="D122" s="66" t="n"/>
      <c r="E122" s="68" t="n"/>
      <c r="F122" s="287" t="n"/>
      <c r="G122" s="288" t="n"/>
    </row>
    <row r="123">
      <c r="A123" s="71" t="inlineStr">
        <is>
          <t>OBRA</t>
        </is>
      </c>
      <c r="B123" s="58" t="inlineStr">
        <is>
          <t>2.1.106</t>
        </is>
      </c>
      <c r="C123" s="59" t="inlineStr">
        <is>
          <t>Casetas técnicas</t>
        </is>
      </c>
      <c r="D123" s="58" t="inlineStr">
        <is>
          <t>UND</t>
        </is>
      </c>
      <c r="E123" s="58" t="n">
        <v>37</v>
      </c>
      <c r="F123" s="282" t="n">
        <v>65000000</v>
      </c>
      <c r="G123" s="283" t="n">
        <v>2405000000</v>
      </c>
    </row>
    <row r="124">
      <c r="A124" s="71" t="inlineStr">
        <is>
          <t>OBRA</t>
        </is>
      </c>
      <c r="B124" s="58" t="inlineStr">
        <is>
          <t>2.1.107</t>
        </is>
      </c>
      <c r="C124" s="59" t="inlineStr">
        <is>
          <t>Cimentaciones</t>
        </is>
      </c>
      <c r="D124" s="58" t="inlineStr">
        <is>
          <t>UND</t>
        </is>
      </c>
      <c r="E124" s="58" t="n">
        <v>37</v>
      </c>
      <c r="F124" s="282" t="n">
        <v>25000000</v>
      </c>
      <c r="G124" s="283" t="n">
        <v>925000000</v>
      </c>
    </row>
    <row r="125">
      <c r="A125" s="71" t="inlineStr">
        <is>
          <t>OBRA</t>
        </is>
      </c>
      <c r="B125" s="58" t="inlineStr">
        <is>
          <t>2.1.108</t>
        </is>
      </c>
      <c r="C125" s="59" t="inlineStr">
        <is>
          <t>Cerramiento perimetral</t>
        </is>
      </c>
      <c r="D125" s="58" t="inlineStr">
        <is>
          <t>UND</t>
        </is>
      </c>
      <c r="E125" s="58" t="n">
        <v>37</v>
      </c>
      <c r="F125" s="282" t="n">
        <v>30000000</v>
      </c>
      <c r="G125" s="283" t="n">
        <v>1110000000</v>
      </c>
    </row>
    <row r="126">
      <c r="A126" s="71" t="inlineStr">
        <is>
          <t>OBRA</t>
        </is>
      </c>
      <c r="B126" s="58" t="inlineStr">
        <is>
          <t>2.1.109</t>
        </is>
      </c>
      <c r="C126" s="59" t="inlineStr">
        <is>
          <t>Vías de acceso</t>
        </is>
      </c>
      <c r="D126" s="58" t="inlineStr">
        <is>
          <t>UND</t>
        </is>
      </c>
      <c r="E126" s="58" t="n">
        <v>37</v>
      </c>
      <c r="F126" s="282" t="n">
        <v>25000000</v>
      </c>
      <c r="G126" s="283" t="n">
        <v>925000000</v>
      </c>
    </row>
    <row r="127">
      <c r="A127" s="71" t="inlineStr">
        <is>
          <t>OBRA</t>
        </is>
      </c>
      <c r="B127" s="58" t="inlineStr">
        <is>
          <t>2.1.111</t>
        </is>
      </c>
      <c r="C127" s="59" t="inlineStr">
        <is>
          <t>Montaje e instalación</t>
        </is>
      </c>
      <c r="D127" s="58" t="inlineStr">
        <is>
          <t>UND</t>
        </is>
      </c>
      <c r="E127" s="58" t="n">
        <v>37</v>
      </c>
      <c r="F127" s="282" t="n">
        <v>15000000</v>
      </c>
      <c r="G127" s="283" t="n">
        <v>555000000</v>
      </c>
    </row>
    <row r="128" ht="30" customHeight="1" thickBot="1">
      <c r="A128" s="73" t="inlineStr">
        <is>
          <t>OBRA</t>
        </is>
      </c>
      <c r="B128" s="74" t="inlineStr">
        <is>
          <t>2.3.101</t>
        </is>
      </c>
      <c r="C128" s="75" t="inlineStr">
        <is>
          <t>Mano de obra instalación (Tendido 526km + 10% Gasa Técnica)</t>
        </is>
      </c>
      <c r="D128" s="74" t="inlineStr">
        <is>
          <t>KM</t>
        </is>
      </c>
      <c r="E128" s="74" t="n">
        <v>579</v>
      </c>
      <c r="F128" s="284" t="n">
        <v>90188987</v>
      </c>
      <c r="G128" s="285" t="n">
        <v>52219423473</v>
      </c>
    </row>
    <row r="129" ht="16.5" customHeight="1" thickBot="1">
      <c r="A129" s="62" t="inlineStr"/>
      <c r="B129" s="62" t="inlineStr"/>
      <c r="C129" s="63" t="inlineStr">
        <is>
          <t>&gt;&gt;&gt; SUBTOTAL OBRA</t>
        </is>
      </c>
      <c r="D129" s="62" t="inlineStr"/>
      <c r="E129" s="80" t="inlineStr"/>
      <c r="F129" s="286" t="inlineStr"/>
      <c r="G129" s="286" t="n">
        <v>58139423473</v>
      </c>
    </row>
    <row r="130">
      <c r="A130" s="65" t="n"/>
      <c r="B130" s="66" t="n"/>
      <c r="C130" s="67" t="n"/>
      <c r="D130" s="66" t="n"/>
      <c r="E130" s="68" t="n"/>
      <c r="F130" s="289" t="n"/>
      <c r="G130" s="290" t="n"/>
    </row>
    <row r="131">
      <c r="A131" s="71" t="inlineStr">
        <is>
          <t>SERVICIO</t>
        </is>
      </c>
      <c r="B131" s="58" t="inlineStr">
        <is>
          <t>2.1.112</t>
        </is>
      </c>
      <c r="C131" s="59" t="inlineStr">
        <is>
          <t>Configuración red</t>
        </is>
      </c>
      <c r="D131" s="58" t="inlineStr">
        <is>
          <t>UND</t>
        </is>
      </c>
      <c r="E131" s="58" t="n">
        <v>1</v>
      </c>
      <c r="F131" s="282" t="n">
        <v>200000000</v>
      </c>
      <c r="G131" s="283" t="n">
        <v>200000000</v>
      </c>
    </row>
    <row r="132">
      <c r="A132" s="71" t="inlineStr">
        <is>
          <t>SERVICIO</t>
        </is>
      </c>
      <c r="B132" s="58" t="inlineStr">
        <is>
          <t>2.1.113</t>
        </is>
      </c>
      <c r="C132" s="59" t="inlineStr">
        <is>
          <t>Pruebas cobertura</t>
        </is>
      </c>
      <c r="D132" s="58" t="inlineStr">
        <is>
          <t>UND</t>
        </is>
      </c>
      <c r="E132" s="58" t="n">
        <v>1</v>
      </c>
      <c r="F132" s="282" t="n">
        <v>150000000</v>
      </c>
      <c r="G132" s="283" t="n">
        <v>150000000</v>
      </c>
    </row>
    <row r="133">
      <c r="A133" s="71" t="inlineStr">
        <is>
          <t>SERVICIO</t>
        </is>
      </c>
      <c r="B133" s="58" t="inlineStr">
        <is>
          <t>2.1.114</t>
        </is>
      </c>
      <c r="C133" s="59" t="inlineStr">
        <is>
          <t>Capacitación</t>
        </is>
      </c>
      <c r="D133" s="58" t="inlineStr">
        <is>
          <t>UND</t>
        </is>
      </c>
      <c r="E133" s="58" t="n">
        <v>1</v>
      </c>
      <c r="F133" s="282" t="n">
        <v>100000000</v>
      </c>
      <c r="G133" s="283" t="n">
        <v>100000000</v>
      </c>
    </row>
    <row r="134">
      <c r="A134" s="71" t="inlineStr">
        <is>
          <t>SERVICIO</t>
        </is>
      </c>
      <c r="B134" s="58" t="inlineStr">
        <is>
          <t>2.2.106</t>
        </is>
      </c>
      <c r="C134" s="59" t="inlineStr">
        <is>
          <t>Configuración dual</t>
        </is>
      </c>
      <c r="D134" s="58" t="inlineStr">
        <is>
          <t>UND</t>
        </is>
      </c>
      <c r="E134" s="58" t="n">
        <v>1</v>
      </c>
      <c r="F134" s="282" t="n">
        <v>100000000</v>
      </c>
      <c r="G134" s="283" t="n">
        <v>100000000</v>
      </c>
    </row>
    <row r="135">
      <c r="A135" s="71" t="inlineStr">
        <is>
          <t>SERVICIO</t>
        </is>
      </c>
      <c r="B135" s="58" t="inlineStr">
        <is>
          <t>2.2.107</t>
        </is>
      </c>
      <c r="C135" s="59" t="inlineStr">
        <is>
          <t>Pruebas integración</t>
        </is>
      </c>
      <c r="D135" s="58" t="inlineStr">
        <is>
          <t>UND</t>
        </is>
      </c>
      <c r="E135" s="58" t="n">
        <v>1</v>
      </c>
      <c r="F135" s="282" t="n">
        <v>80000000</v>
      </c>
      <c r="G135" s="283" t="n">
        <v>80000000</v>
      </c>
    </row>
    <row r="136">
      <c r="A136" s="71" t="inlineStr">
        <is>
          <t>SERVICIO</t>
        </is>
      </c>
      <c r="B136" s="58" t="inlineStr">
        <is>
          <t>3.1.108</t>
        </is>
      </c>
      <c r="C136" s="59" t="inlineStr">
        <is>
          <t>Instalación y configuración</t>
        </is>
      </c>
      <c r="D136" s="58" t="inlineStr">
        <is>
          <t>UND</t>
        </is>
      </c>
      <c r="E136" s="58" t="n">
        <v>73</v>
      </c>
      <c r="F136" s="282" t="n">
        <v>2000000</v>
      </c>
      <c r="G136" s="283" t="n">
        <v>146000000</v>
      </c>
    </row>
    <row r="137">
      <c r="A137" s="71" t="inlineStr">
        <is>
          <t>SERVICIO</t>
        </is>
      </c>
      <c r="B137" s="58" t="inlineStr">
        <is>
          <t>3.2.106</t>
        </is>
      </c>
      <c r="C137" s="59" t="inlineStr">
        <is>
          <t>Instalación y configuración</t>
        </is>
      </c>
      <c r="D137" s="58" t="inlineStr">
        <is>
          <t>UND</t>
        </is>
      </c>
      <c r="E137" s="58" t="n">
        <v>1</v>
      </c>
      <c r="F137" s="282" t="n">
        <v>100000000</v>
      </c>
      <c r="G137" s="283" t="n">
        <v>100000000</v>
      </c>
    </row>
    <row r="138">
      <c r="A138" s="71" t="inlineStr">
        <is>
          <t>SERVICIO</t>
        </is>
      </c>
      <c r="B138" s="58" t="inlineStr">
        <is>
          <t>4.1.105</t>
        </is>
      </c>
      <c r="C138" s="59" t="inlineStr">
        <is>
          <t>Instalación y configuración</t>
        </is>
      </c>
      <c r="D138" s="58" t="inlineStr">
        <is>
          <t>UND</t>
        </is>
      </c>
      <c r="E138" s="58" t="n">
        <v>9</v>
      </c>
      <c r="F138" s="282" t="n">
        <v>200000000</v>
      </c>
      <c r="G138" s="283" t="n">
        <v>1800000000</v>
      </c>
    </row>
    <row r="139">
      <c r="A139" s="71" t="inlineStr">
        <is>
          <t>SERVICIO</t>
        </is>
      </c>
      <c r="B139" s="58" t="inlineStr">
        <is>
          <t>5.3.105</t>
        </is>
      </c>
      <c r="C139" s="59" t="inlineStr">
        <is>
          <t>Configuración</t>
        </is>
      </c>
      <c r="D139" s="58" t="inlineStr">
        <is>
          <t>UND</t>
        </is>
      </c>
      <c r="E139" s="58" t="n">
        <v>1</v>
      </c>
      <c r="F139" s="282" t="n">
        <v>100000000</v>
      </c>
      <c r="G139" s="283" t="n">
        <v>100000000</v>
      </c>
    </row>
    <row r="140">
      <c r="A140" s="71" t="inlineStr">
        <is>
          <t>SERVICIO</t>
        </is>
      </c>
      <c r="B140" s="58" t="inlineStr">
        <is>
          <t>6.1.105</t>
        </is>
      </c>
      <c r="C140" s="59" t="inlineStr">
        <is>
          <t>Instalación y configuración</t>
        </is>
      </c>
      <c r="D140" s="58" t="inlineStr">
        <is>
          <t>UND</t>
        </is>
      </c>
      <c r="E140" s="58" t="n">
        <v>15</v>
      </c>
      <c r="F140" s="282" t="n">
        <v>100000000</v>
      </c>
      <c r="G140" s="283" t="n">
        <v>1500000000</v>
      </c>
    </row>
    <row r="141" ht="16.5" customHeight="1" thickBot="1">
      <c r="A141" s="73" t="inlineStr">
        <is>
          <t>SERVICIO</t>
        </is>
      </c>
      <c r="B141" s="74" t="inlineStr">
        <is>
          <t>6.2.103</t>
        </is>
      </c>
      <c r="C141" s="75" t="inlineStr">
        <is>
          <t>Configuración EOT</t>
        </is>
      </c>
      <c r="D141" s="74" t="inlineStr">
        <is>
          <t>UND</t>
        </is>
      </c>
      <c r="E141" s="74" t="n">
        <v>1</v>
      </c>
      <c r="F141" s="284" t="n">
        <v>20000000</v>
      </c>
      <c r="G141" s="285" t="n">
        <v>20000000</v>
      </c>
    </row>
    <row r="142">
      <c r="A142" s="62" t="inlineStr"/>
      <c r="B142" s="62" t="inlineStr"/>
      <c r="C142" s="63" t="inlineStr">
        <is>
          <t>&gt;&gt;&gt; SUBTOTAL SERVICIO</t>
        </is>
      </c>
      <c r="D142" s="62" t="inlineStr"/>
      <c r="E142" s="62" t="inlineStr"/>
      <c r="F142" s="286" t="inlineStr"/>
      <c r="G142" s="286" t="n">
        <v>4296000000</v>
      </c>
    </row>
    <row r="143" ht="16.5" customHeight="1" thickBot="1">
      <c r="A143" s="13" t="n"/>
      <c r="B143" s="13" t="n"/>
      <c r="C143" s="13" t="n"/>
      <c r="D143" s="13" t="n"/>
      <c r="E143" s="13" t="n"/>
      <c r="F143" s="291" t="n"/>
      <c r="G143" s="291" t="n"/>
    </row>
    <row r="144">
      <c r="A144" s="120" t="inlineStr"/>
      <c r="B144" s="121" t="inlineStr"/>
      <c r="C144" s="121" t="inlineStr">
        <is>
          <t>&gt;&gt;&gt; Costo Directo (CD)</t>
        </is>
      </c>
      <c r="D144" s="121" t="inlineStr"/>
      <c r="E144" s="121" t="inlineStr"/>
      <c r="F144" s="292" t="inlineStr"/>
      <c r="G144" s="293" t="n">
        <v>211191318560</v>
      </c>
    </row>
    <row r="145">
      <c r="A145" s="124" t="inlineStr"/>
      <c r="B145" s="25" t="inlineStr"/>
      <c r="C145" s="25" t="inlineStr">
        <is>
          <t>AIU sobre Obra Civil (33%)</t>
        </is>
      </c>
      <c r="D145" s="25" t="inlineStr"/>
      <c r="E145" s="25" t="inlineStr"/>
      <c r="F145" s="294" t="inlineStr"/>
      <c r="G145" s="295" t="n">
        <v>19186009747</v>
      </c>
    </row>
    <row r="146">
      <c r="A146" s="126" t="inlineStr"/>
      <c r="B146" s="7" t="inlineStr"/>
      <c r="C146" s="7" t="inlineStr">
        <is>
          <t>IVA Total</t>
        </is>
      </c>
      <c r="D146" s="7" t="inlineStr"/>
      <c r="E146" s="7" t="inlineStr"/>
      <c r="F146" s="296" t="inlineStr"/>
      <c r="G146" s="297" t="n">
        <v>29632184590</v>
      </c>
    </row>
    <row r="147" ht="16.5" customHeight="1" thickBot="1">
      <c r="A147" s="128" t="inlineStr"/>
      <c r="B147" s="129" t="inlineStr"/>
      <c r="C147" s="129" t="inlineStr">
        <is>
          <t>TOTAL PROYECTO (COP)</t>
        </is>
      </c>
      <c r="D147" s="129" t="inlineStr"/>
      <c r="E147" s="129" t="inlineStr"/>
      <c r="F147" s="298" t="inlineStr"/>
      <c r="G147" s="299" t="n">
        <v>260009512897</v>
      </c>
    </row>
  </sheetData>
  <mergeCells count="2">
    <mergeCell ref="A2:G2"/>
    <mergeCell ref="A1:G1"/>
  </mergeCells>
  <pageMargins left="0.5" right="0.5" top="0.5" bottom="0.5" header="0.25" footer="0.25"/>
  <pageSetup orientation="landscape" paperSize="9"/>
</worksheet>
</file>

<file path=xl/worksheets/sheet6.xml><?xml version="1.0" encoding="utf-8"?>
<worksheet xmlns="http://schemas.openxmlformats.org/spreadsheetml/2006/main">
  <sheetPr>
    <outlinePr summaryBelow="1" summaryRight="1"/>
    <pageSetUpPr/>
  </sheetPr>
  <dimension ref="A1:L11"/>
  <sheetViews>
    <sheetView topLeftCell="D1" workbookViewId="0">
      <pane ySplit="4" topLeftCell="A5" activePane="bottomLeft" state="frozen"/>
      <selection activeCell="D1" sqref="D1"/>
      <selection pane="bottomLeft" activeCell="A1" sqref="A1:L1"/>
    </sheetView>
  </sheetViews>
  <sheetFormatPr baseColWidth="10" defaultRowHeight="15.75"/>
  <cols>
    <col width="4.625" bestFit="1" customWidth="1" min="1" max="1"/>
    <col width="33.375" customWidth="1" min="2" max="2"/>
    <col width="23.5" customWidth="1" min="3" max="3"/>
    <col width="18.75" bestFit="1" customWidth="1" min="4" max="4"/>
    <col width="17.75" bestFit="1" customWidth="1" min="5" max="5"/>
    <col width="19.125" customWidth="1" min="6" max="6"/>
    <col width="18.75" bestFit="1" customWidth="1" min="7" max="8"/>
    <col width="19.125" customWidth="1" min="9" max="9"/>
    <col width="16.25" bestFit="1" customWidth="1" min="10" max="10"/>
    <col width="18.75" bestFit="1" customWidth="1" min="11" max="11"/>
    <col width="23.125" customWidth="1" min="12" max="12"/>
  </cols>
  <sheetData>
    <row r="1" ht="30" customHeight="1">
      <c r="A1" s="198" t="inlineStr">
        <is>
          <t>DESGLOSE AIU + IVA POR CAPÍTULO</t>
        </is>
      </c>
    </row>
    <row r="2">
      <c r="A2" s="200" t="inlineStr">
        <is>
          <t>AIU 33% = Adm 23% + Imp 5% + Util 5% (todo sobre Obra Civil) · IVA = 19% Sum + 19% Serv + 19% × 5% Util Obra</t>
        </is>
      </c>
    </row>
    <row r="3">
      <c r="A3" s="5" t="n"/>
      <c r="B3" s="5" t="n"/>
      <c r="C3" s="5" t="n"/>
      <c r="D3" s="5" t="n"/>
      <c r="E3" s="5" t="n"/>
      <c r="F3" s="5" t="n"/>
      <c r="G3" s="5" t="n"/>
      <c r="H3" s="5" t="n"/>
      <c r="I3" s="5" t="n"/>
      <c r="J3" s="5" t="n"/>
      <c r="K3" s="5" t="n"/>
      <c r="L3" s="5" t="n"/>
    </row>
    <row r="4" ht="26.1" customHeight="1">
      <c r="A4" s="48" t="inlineStr">
        <is>
          <t>CAP</t>
        </is>
      </c>
      <c r="B4" s="49" t="inlineStr">
        <is>
          <t>NOMBRE</t>
        </is>
      </c>
      <c r="C4" s="49" t="inlineStr">
        <is>
          <t>CD</t>
        </is>
      </c>
      <c r="D4" s="49" t="inlineStr">
        <is>
          <t>Adm 23%</t>
        </is>
      </c>
      <c r="E4" s="49" t="inlineStr">
        <is>
          <t>Imp 5%</t>
        </is>
      </c>
      <c r="F4" s="49" t="inlineStr">
        <is>
          <t>Util 5%</t>
        </is>
      </c>
      <c r="G4" s="49" t="inlineStr">
        <is>
          <t>AIU Total</t>
        </is>
      </c>
      <c r="H4" s="49" t="inlineStr">
        <is>
          <t>IVA Sum</t>
        </is>
      </c>
      <c r="I4" s="49" t="inlineStr">
        <is>
          <t>IVA Serv</t>
        </is>
      </c>
      <c r="J4" s="49" t="inlineStr">
        <is>
          <t>IVA Util</t>
        </is>
      </c>
      <c r="K4" s="49" t="inlineStr">
        <is>
          <t>IVA Total</t>
        </is>
      </c>
      <c r="L4" s="50" t="inlineStr">
        <is>
          <t>TOTAL CAP</t>
        </is>
      </c>
    </row>
    <row r="5">
      <c r="A5" s="40" t="n">
        <v>1</v>
      </c>
      <c r="B5" s="42" t="inlineStr">
        <is>
          <t>CONTROL Y SENALIZACIÓN VIRTUAL</t>
        </is>
      </c>
      <c r="C5" s="272" t="n">
        <v>70398425000</v>
      </c>
      <c r="D5" s="272" t="n">
        <v>0</v>
      </c>
      <c r="E5" s="272" t="n">
        <v>0</v>
      </c>
      <c r="F5" s="272" t="n">
        <v>0</v>
      </c>
      <c r="G5" s="272" t="n">
        <v>0</v>
      </c>
      <c r="H5" s="272" t="n">
        <v>13375700750</v>
      </c>
      <c r="I5" s="272" t="n">
        <v>0</v>
      </c>
      <c r="J5" s="272" t="n">
        <v>0</v>
      </c>
      <c r="K5" s="272" t="n">
        <v>13375700750</v>
      </c>
      <c r="L5" s="300" t="n">
        <v>83774125750</v>
      </c>
    </row>
    <row r="6">
      <c r="A6" s="40" t="n">
        <v>2</v>
      </c>
      <c r="B6" s="42" t="inlineStr">
        <is>
          <t>TELECOMUNICACIONES COLOCALIZADAS</t>
        </is>
      </c>
      <c r="C6" s="272" t="n">
        <v>88113093560</v>
      </c>
      <c r="D6" s="272" t="n">
        <v>13372067399</v>
      </c>
      <c r="E6" s="272" t="n">
        <v>2906971174</v>
      </c>
      <c r="F6" s="272" t="n">
        <v>2906971174</v>
      </c>
      <c r="G6" s="272" t="n">
        <v>19186009747</v>
      </c>
      <c r="H6" s="272" t="n">
        <v>5575297317</v>
      </c>
      <c r="I6" s="272" t="n">
        <v>119700000</v>
      </c>
      <c r="J6" s="272" t="n">
        <v>552324523</v>
      </c>
      <c r="K6" s="272" t="n">
        <v>6247321840</v>
      </c>
      <c r="L6" s="300" t="n">
        <v>113546425147</v>
      </c>
    </row>
    <row r="7">
      <c r="A7" s="40" t="n">
        <v>3</v>
      </c>
      <c r="B7" s="42" t="inlineStr">
        <is>
          <t>SISTEMAS ITS Y SEGURIDAD</t>
        </is>
      </c>
      <c r="C7" s="272" t="n">
        <v>5382300000</v>
      </c>
      <c r="D7" s="272" t="n">
        <v>0</v>
      </c>
      <c r="E7" s="272" t="n">
        <v>0</v>
      </c>
      <c r="F7" s="272" t="n">
        <v>0</v>
      </c>
      <c r="G7" s="272" t="n">
        <v>0</v>
      </c>
      <c r="H7" s="272" t="n">
        <v>975897000</v>
      </c>
      <c r="I7" s="272" t="n">
        <v>46740000</v>
      </c>
      <c r="J7" s="272" t="n">
        <v>0</v>
      </c>
      <c r="K7" s="272" t="n">
        <v>1022637000</v>
      </c>
      <c r="L7" s="300" t="n">
        <v>6404937000</v>
      </c>
    </row>
    <row r="8">
      <c r="A8" s="40" t="n">
        <v>4</v>
      </c>
      <c r="B8" s="42" t="inlineStr">
        <is>
          <t>PASOS A NIVEL</t>
        </is>
      </c>
      <c r="C8" s="272" t="n">
        <v>18238000000</v>
      </c>
      <c r="D8" s="272" t="n">
        <v>0</v>
      </c>
      <c r="E8" s="272" t="n">
        <v>0</v>
      </c>
      <c r="F8" s="272" t="n">
        <v>0</v>
      </c>
      <c r="G8" s="272" t="n">
        <v>0</v>
      </c>
      <c r="H8" s="272" t="n">
        <v>3123220000</v>
      </c>
      <c r="I8" s="272" t="n">
        <v>342000000</v>
      </c>
      <c r="J8" s="272" t="n">
        <v>0</v>
      </c>
      <c r="K8" s="272" t="n">
        <v>3465220000</v>
      </c>
      <c r="L8" s="300" t="n">
        <v>21703220000</v>
      </c>
    </row>
    <row r="9">
      <c r="A9" s="40" t="n">
        <v>5</v>
      </c>
      <c r="B9" s="42" t="inlineStr">
        <is>
          <t>CENTRO DE CONTROL OPERACIONAL</t>
        </is>
      </c>
      <c r="C9" s="272" t="n">
        <v>16412000000</v>
      </c>
      <c r="D9" s="272" t="n">
        <v>0</v>
      </c>
      <c r="E9" s="272" t="n">
        <v>0</v>
      </c>
      <c r="F9" s="272" t="n">
        <v>0</v>
      </c>
      <c r="G9" s="272" t="n">
        <v>0</v>
      </c>
      <c r="H9" s="272" t="n">
        <v>3099280000</v>
      </c>
      <c r="I9" s="272" t="n">
        <v>19000000</v>
      </c>
      <c r="J9" s="272" t="n">
        <v>0</v>
      </c>
      <c r="K9" s="272" t="n">
        <v>3118280000</v>
      </c>
      <c r="L9" s="300" t="n">
        <v>19530280000</v>
      </c>
    </row>
    <row r="10">
      <c r="A10" s="40" t="n">
        <v>6</v>
      </c>
      <c r="B10" s="42" t="inlineStr">
        <is>
          <t>MATERIAL RODANTE</t>
        </is>
      </c>
      <c r="C10" s="272" t="n">
        <v>12647500000</v>
      </c>
      <c r="D10" s="272" t="n">
        <v>0</v>
      </c>
      <c r="E10" s="272" t="n">
        <v>0</v>
      </c>
      <c r="F10" s="272" t="n">
        <v>0</v>
      </c>
      <c r="G10" s="272" t="n">
        <v>0</v>
      </c>
      <c r="H10" s="272" t="n">
        <v>2114225000</v>
      </c>
      <c r="I10" s="272" t="n">
        <v>288800000</v>
      </c>
      <c r="J10" s="272" t="n">
        <v>0</v>
      </c>
      <c r="K10" s="272" t="n">
        <v>2403025000</v>
      </c>
      <c r="L10" s="300" t="n">
        <v>15050525000</v>
      </c>
    </row>
    <row r="11">
      <c r="A11" s="53" t="inlineStr"/>
      <c r="B11" s="54" t="inlineStr">
        <is>
          <t>TOTAL</t>
        </is>
      </c>
      <c r="C11" s="275" t="n">
        <v>211191318560</v>
      </c>
      <c r="D11" s="276" t="inlineStr"/>
      <c r="E11" s="276" t="inlineStr"/>
      <c r="F11" s="276" t="inlineStr"/>
      <c r="G11" s="275" t="n">
        <v>19186009747</v>
      </c>
      <c r="H11" s="276" t="inlineStr"/>
      <c r="I11" s="276" t="inlineStr"/>
      <c r="J11" s="276" t="inlineStr"/>
      <c r="K11" s="275" t="n">
        <v>29632184590</v>
      </c>
      <c r="L11" s="301" t="n">
        <v>260009512897</v>
      </c>
    </row>
  </sheetData>
  <mergeCells count="2">
    <mergeCell ref="A2:L2"/>
    <mergeCell ref="A1:L1"/>
  </mergeCells>
  <pageMargins left="0.5" right="0.5" top="0.5" bottom="0.5" header="0.25" footer="0.25"/>
  <pageSetup orientation="landscape"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3"/>
  <sheetViews>
    <sheetView tabSelected="1" workbookViewId="0">
      <pane ySplit="4" topLeftCell="A5" activePane="bottomLeft" state="frozen"/>
      <selection pane="bottomLeft" activeCell="B5" sqref="B5"/>
    </sheetView>
  </sheetViews>
  <sheetFormatPr baseColWidth="10" defaultRowHeight="15.75"/>
  <cols>
    <col width="16" customWidth="1" min="1" max="1"/>
    <col width="38.625" bestFit="1" customWidth="1" min="2" max="2"/>
    <col width="28.75" bestFit="1" customWidth="1" min="3" max="3"/>
    <col width="25.875" customWidth="1" min="4" max="4"/>
    <col width="11.625" customWidth="1" min="5" max="5"/>
    <col width="50.125" customWidth="1" min="6" max="6"/>
  </cols>
  <sheetData>
    <row r="1" ht="32.1" customHeight="1">
      <c r="A1" s="302" t="inlineStr">
        <is>
          <t>PENDIENTES RFQ — Para Compras / Integradora (ART, Hitachi, etc.)</t>
        </is>
      </c>
      <c r="B1" s="247" t="n"/>
      <c r="C1" s="247" t="n"/>
      <c r="D1" s="247" t="n"/>
      <c r="E1" s="247" t="n"/>
      <c r="F1" s="248" t="n"/>
    </row>
    <row r="2">
      <c r="A2" s="167" t="inlineStr">
        <is>
          <t>Cotizaciones formales pendientes. Documentación: DT-COMS-2026-007 + precios_Adif_COMPLETO.md §4.</t>
        </is>
      </c>
      <c r="B2" s="247" t="n"/>
      <c r="C2" s="247" t="n"/>
      <c r="D2" s="247" t="n"/>
      <c r="E2" s="247" t="n"/>
      <c r="F2" s="248" t="n"/>
    </row>
    <row r="3">
      <c r="A3" s="13" t="n"/>
      <c r="B3" s="13" t="n"/>
      <c r="C3" s="13" t="n"/>
      <c r="D3" s="13" t="n"/>
      <c r="E3" s="13" t="n"/>
      <c r="F3" s="13" t="n"/>
    </row>
    <row r="4" ht="26.1" customHeight="1">
      <c r="A4" s="36" t="inlineStr">
        <is>
          <t>ÍTEM WBS</t>
        </is>
      </c>
      <c r="B4" s="37" t="inlineStr">
        <is>
          <t>CONCEPTO</t>
        </is>
      </c>
      <c r="C4" s="38" t="inlineStr">
        <is>
          <t>VU ACTUAL</t>
        </is>
      </c>
      <c r="D4" s="38" t="inlineStr">
        <is>
          <t>FUENTE</t>
        </is>
      </c>
      <c r="E4" s="38" t="inlineStr">
        <is>
          <t>ESTADO</t>
        </is>
      </c>
      <c r="F4" s="39" t="inlineStr">
        <is>
          <t>PROVEEDORES PRIORIZADOS</t>
        </is>
      </c>
    </row>
    <row r="5" ht="29.25" customHeight="1">
      <c r="A5" s="40" t="inlineStr">
        <is>
          <t>1.3.100-104</t>
        </is>
      </c>
      <c r="B5" s="41" t="inlineStr">
        <is>
          <t>Controlador ENCE (5 estaciones)</t>
        </is>
      </c>
      <c r="C5" s="42" t="inlineStr">
        <is>
          <t>$2,000M COP/u</t>
        </is>
      </c>
      <c r="D5" s="42" t="inlineStr">
        <is>
          <t>ADIF CAC020 + ajustes</t>
        </is>
      </c>
      <c r="E5" s="42" t="inlineStr">
        <is>
          <t>Ratificación</t>
        </is>
      </c>
      <c r="F5" s="43" t="inlineStr">
        <is>
          <t>Hima Colombia, Siemens Mobility Bogotá, Alstom regional, Bombardier</t>
        </is>
      </c>
    </row>
    <row r="6">
      <c r="A6" s="40" t="inlineStr">
        <is>
          <t>1.4.100</t>
        </is>
      </c>
      <c r="B6" s="41" t="inlineStr">
        <is>
          <t>Desvío motorizado (25u)</t>
        </is>
      </c>
      <c r="C6" s="42" t="inlineStr">
        <is>
          <t>$640M COP/u</t>
        </is>
      </c>
      <c r="D6" s="42" t="inlineStr">
        <is>
          <t>ADIF VEA010 + ajustes</t>
        </is>
      </c>
      <c r="E6" s="42" t="inlineStr">
        <is>
          <t>Ratificación</t>
        </is>
      </c>
      <c r="F6" s="43" t="inlineStr">
        <is>
          <t>Hima, Vossloh COL, Voestalpine, Schwihag</t>
        </is>
      </c>
    </row>
    <row r="7">
      <c r="A7" s="40" t="inlineStr">
        <is>
          <t>1.4.101</t>
        </is>
      </c>
      <c r="B7" s="41" t="inlineStr">
        <is>
          <t>Sistema control remoto + redundancia N+1</t>
        </is>
      </c>
      <c r="C7" s="42" t="inlineStr">
        <is>
          <t>$134.6M COP/u</t>
        </is>
      </c>
      <c r="D7" s="42" t="inlineStr">
        <is>
          <t>ADIF CBB010 + buffer N+1</t>
        </is>
      </c>
      <c r="E7" s="42" t="inlineStr">
        <is>
          <t>Ratificación</t>
        </is>
      </c>
      <c r="F7" s="43" t="inlineStr">
        <is>
          <t>Siemens SICAS, Hima, Alstom</t>
        </is>
      </c>
    </row>
    <row r="8">
      <c r="A8" s="40" t="inlineStr">
        <is>
          <t>4.1.101</t>
        </is>
      </c>
      <c r="B8" s="41" t="inlineStr">
        <is>
          <t>Señal luminosa LED</t>
        </is>
      </c>
      <c r="C8" s="42" t="inlineStr">
        <is>
          <t>$80M COP/u</t>
        </is>
      </c>
      <c r="D8" s="42" t="inlineStr">
        <is>
          <t>ADIF CCA040 + buffer</t>
        </is>
      </c>
      <c r="E8" s="42" t="inlineStr">
        <is>
          <t>Ratificación</t>
        </is>
      </c>
      <c r="F8" s="43" t="inlineStr">
        <is>
          <t>Aldridge, Siemens, Hitachi, GE Transportation</t>
        </is>
      </c>
    </row>
    <row r="9">
      <c r="A9" s="40" t="inlineStr">
        <is>
          <t>2.3.100</t>
        </is>
      </c>
      <c r="B9" s="41" t="inlineStr">
        <is>
          <t>Cable F.O. monomodo 48 hilos G.652.D OSP</t>
        </is>
      </c>
      <c r="C9" s="42" t="inlineStr">
        <is>
          <t>$9.81M COP/km × 579 km</t>
        </is>
      </c>
      <c r="D9" s="42" t="inlineStr">
        <is>
          <t>Mercado COL/LATAM</t>
        </is>
      </c>
      <c r="E9" s="42" t="inlineStr">
        <is>
          <t>RFQ urgente</t>
        </is>
      </c>
      <c r="F9" s="43" t="inlineStr">
        <is>
          <t>Furukawa Brasil, Corning LATAM, Prysmian Latam, OFS</t>
        </is>
      </c>
    </row>
    <row r="10">
      <c r="A10" s="40" t="inlineStr">
        <is>
          <t>Comp 1.3</t>
        </is>
      </c>
      <c r="B10" s="41" t="inlineStr">
        <is>
          <t>Contador de ejes (Wayside ENCE)</t>
        </is>
      </c>
      <c r="C10" s="42" t="inlineStr">
        <is>
          <t>~$4,720 USD/u (Conceptual LFC)</t>
        </is>
      </c>
      <c r="D10" s="42" t="inlineStr">
        <is>
          <t>Sin ADIF</t>
        </is>
      </c>
      <c r="E10" s="42" t="inlineStr">
        <is>
          <t>RFQ urgente</t>
        </is>
      </c>
      <c r="F10" s="43" t="inlineStr">
        <is>
          <t>Frauscher, Siemens, Thales, Voestalpine</t>
        </is>
      </c>
    </row>
    <row r="11">
      <c r="A11" s="40" t="inlineStr">
        <is>
          <t>4.1.x</t>
        </is>
      </c>
      <c r="B11" s="41" t="inlineStr">
        <is>
          <t>Armario PTC en PaN (Tipo C, SIL-3 vital)</t>
        </is>
      </c>
      <c r="C11" s="42" t="inlineStr">
        <is>
          <t>~$140k USD/u (Conceptual LFC)</t>
        </is>
      </c>
      <c r="D11" s="42" t="inlineStr">
        <is>
          <t>Sin ADIF</t>
        </is>
      </c>
      <c r="E11" s="42" t="inlineStr">
        <is>
          <t>RFQ urgente</t>
        </is>
      </c>
      <c r="F11" s="43" t="inlineStr">
        <is>
          <t>Hima HiMax, Siemens SICAS, Bombardier EBI Gate 200</t>
        </is>
      </c>
    </row>
    <row r="12" ht="29.25" customHeight="1">
      <c r="A12" s="40" t="inlineStr">
        <is>
          <t>Cap 10</t>
        </is>
      </c>
      <c r="B12" s="41" t="inlineStr">
        <is>
          <t>UPS 4h (signal) / 24-48h (TETRA)</t>
        </is>
      </c>
      <c r="C12" s="42" t="inlineStr">
        <is>
          <t>Pendiente</t>
        </is>
      </c>
      <c r="D12" s="42" t="inlineStr">
        <is>
          <t>BCD §10.1-10.5</t>
        </is>
      </c>
      <c r="E12" s="42" t="inlineStr">
        <is>
          <t>RFQ urgente</t>
        </is>
      </c>
      <c r="F12" s="43" t="inlineStr">
        <is>
          <t>Eaton, APC by Schneider, Riello, Hoppecke COL (LiFePO4)</t>
        </is>
      </c>
    </row>
    <row r="13" ht="29.25" customHeight="1">
      <c r="A13" s="44" t="inlineStr">
        <is>
          <t>2.1.116</t>
        </is>
      </c>
      <c r="B13" s="45" t="inlineStr">
        <is>
          <t>Bancos baterías UPS 24h sitios remotos TETRA (química a definir vía RFQ)</t>
        </is>
      </c>
      <c r="C13" s="46" t="inlineStr">
        <is>
          <t>$50M COP/u × 37 sitios = $1.85B</t>
        </is>
      </c>
      <c r="D13" s="46" t="inlineStr">
        <is>
          <t>Estimación interna — sin RFQ</t>
        </is>
      </c>
      <c r="E13" s="46" t="inlineStr">
        <is>
          <t>RFQ urgente</t>
        </is>
      </c>
      <c r="F13" s="47" t="inlineStr">
        <is>
          <t>Hoppecke COL, Saft, EnerSys, BYD</t>
        </is>
      </c>
    </row>
  </sheetData>
  <mergeCells count="2">
    <mergeCell ref="A2:F2"/>
    <mergeCell ref="A1:F1"/>
  </mergeCells>
  <pageMargins left="0.5" right="0.5" top="0.5" bottom="0.5" header="0.25" footer="0.25"/>
  <pageSetup orientation="landscape"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57"/>
  <sheetViews>
    <sheetView workbookViewId="0">
      <pane ySplit="2" topLeftCell="A4" activePane="bottomLeft" state="frozen"/>
      <selection pane="bottomLeft" activeCell="A58" sqref="A58"/>
    </sheetView>
  </sheetViews>
  <sheetFormatPr baseColWidth="10" defaultRowHeight="15.75"/>
  <cols>
    <col width="29.75" bestFit="1" customWidth="1" min="1" max="1"/>
    <col width="21.5" customWidth="1" min="2" max="2"/>
    <col width="36.75" bestFit="1" customWidth="1" min="3" max="3"/>
    <col width="58.375" customWidth="1" min="4" max="4"/>
  </cols>
  <sheetData>
    <row r="1" ht="30" customHeight="1">
      <c r="A1" s="165" t="inlineStr">
        <is>
          <t>FUENTES Y NOTAS — PRESUPUESTO SCC v14.7 (BCD)</t>
        </is>
      </c>
      <c r="B1" s="247" t="n"/>
      <c r="C1" s="247" t="n"/>
      <c r="D1" s="248" t="n"/>
    </row>
    <row r="2">
      <c r="A2" s="167" t="inlineStr">
        <is>
          <t>Sesión: 2026-05-05 · BCD v001 (Ardanuy abril 2026) como SSoT técnica</t>
        </is>
      </c>
      <c r="B2" s="247" t="n"/>
      <c r="C2" s="247" t="n"/>
      <c r="D2" s="248" t="n"/>
    </row>
    <row r="3">
      <c r="A3" s="200" t="n"/>
      <c r="B3" s="200" t="n"/>
      <c r="C3" s="200" t="n"/>
      <c r="D3" s="200" t="n"/>
    </row>
    <row r="4" ht="24" customHeight="1">
      <c r="A4" s="175" t="inlineStr">
        <is>
          <t>FUENTE</t>
        </is>
      </c>
      <c r="B4" s="175" t="inlineStr">
        <is>
          <t>TIPO</t>
        </is>
      </c>
      <c r="C4" s="30" t="inlineStr">
        <is>
          <t>COBERTURA</t>
        </is>
      </c>
      <c r="D4" s="30" t="inlineStr">
        <is>
          <t>OBSERVACIONES</t>
        </is>
      </c>
    </row>
    <row r="5" ht="89.25" customHeight="1">
      <c r="A5" s="138" t="inlineStr">
        <is>
          <t>BCD_SCC_v001_2026-04 (Ardanuy)</t>
        </is>
      </c>
      <c r="B5" s="138" t="inlineStr">
        <is>
          <t>Contractual</t>
        </is>
      </c>
      <c r="C5" s="139" t="inlineStr">
        <is>
          <t>Bases, parámetros y criterios de diseño SCC</t>
        </is>
      </c>
      <c r="D5" s="140" t="inlineStr">
        <is>
          <t>Bases de Diseño del Sistema de Comunicación, Control de Tráfico y Señalización (SCC) versión 001 elaboradas por Ardanuy en abril de 2026. Documento de referencia para alcances técnicos: ancho de vía 914 mm, fibra óptica monomodo G.652.D con 48 hilos, 24 pasos a nivel (9 protegidos con barrera automática tipo C y 15 con sistema de luces y alarma tipo B), 5 enclavamientos físicos en las ubicaciones definidas en el Apéndice Técnico 1 del contrato, Tabla 17.</t>
        </is>
      </c>
    </row>
    <row r="6" ht="63.75" customHeight="1">
      <c r="A6" s="138" t="inlineStr">
        <is>
          <t>Contrato APP No. 001/2025 + AT1 + AT3</t>
        </is>
      </c>
      <c r="B6" s="138" t="inlineStr">
        <is>
          <t>Contractual</t>
        </is>
      </c>
      <c r="C6" s="139" t="inlineStr">
        <is>
          <t>Marco legal y especificaciones</t>
        </is>
      </c>
      <c r="D6" s="140" t="inlineStr">
        <is>
          <t>Marco contractual y especificaciones técnicas obligatorias del proyecto. Establece la jerarquía documental aplicable: el Contrato prevalece sobre el Apéndice Técnico 1, éste sobre el Apéndice Técnico 3, y éste sobre las Bases de Diseño. Para conflictos entre normas técnicas internacionales aplica la prelación AREMA (norma americana) sobre la europea CENELEC.</t>
        </is>
      </c>
    </row>
    <row r="7" ht="76.5" customHeight="1">
      <c r="A7" s="138" t="inlineStr">
        <is>
          <t>DT-COMS-2026-007 Línea Base ADIF v1</t>
        </is>
      </c>
      <c r="B7" s="138" t="inlineStr">
        <is>
          <t>Interna SICC</t>
        </is>
      </c>
      <c r="C7" s="139" t="inlineStr">
        <is>
          <t>Precios ENCE, desvíos, señales LED</t>
        </is>
      </c>
      <c r="D7" s="140" t="inlineStr">
        <is>
          <t>Se aplicó la línea base ADIF en dos partidas con cifras firmes: enclavamiento ENCE a 2.000 M COP por unidad (referencia ADIF código CAC020) y desvíos motorizados a 640 M COP por unidad (referencia ADIF código VEA010). Tarea pendiente: cotizar el resto de partidas mediante solicitud formal a proveedores (RFQ). El listado priorizado de partidas pendientes está documentado en la Hoja 6 — Pendientes RFQ.</t>
        </is>
      </c>
    </row>
    <row r="8" ht="51" customHeight="1">
      <c r="A8" s="138" t="inlineStr">
        <is>
          <t>DT-CTRL-2026-006 Flota tractiva</t>
        </is>
      </c>
      <c r="B8" s="138" t="inlineStr">
        <is>
          <t>Interna SICC</t>
        </is>
      </c>
      <c r="C8" s="139" t="inlineStr">
        <is>
          <t>Cap 1.2 PTC embarcado 15 unidades</t>
        </is>
      </c>
      <c r="D8" s="140" t="inlineStr">
        <is>
          <t>Cantidad de equipos PTC embarcados definida en 15 locomotoras: 1 unidad tipo U18 obligatoria según el Apéndice Técnico 1 del contrato, sección 5; más 14 unidades adicionales aportadas por la concesionaria como factor de calidad del proyecto, no exigidas contractualmente.</t>
        </is>
      </c>
    </row>
    <row r="9" ht="114.75" customHeight="1">
      <c r="A9" s="138" t="inlineStr">
        <is>
          <t>BPA ADIF 2026</t>
        </is>
      </c>
      <c r="B9" s="138" t="inlineStr">
        <is>
          <t>Externo (España)</t>
        </is>
      </c>
      <c r="C9" s="139" t="inlineStr">
        <is>
          <t>Referencia europea (no contractual)</t>
        </is>
      </c>
      <c r="D9" s="140" t="inlineStr">
        <is>
          <t>Banco de Precios ADIF 2026 (Administración española de infraestructuras ferroviarias). Aporta referencias de precios para cuatro categorías relevantes al proyecto: enclavamientos (código CAC020), desvíos motorizados (código VEA010), motores de cambiavía (código CBB010) y señales luminosas (código CCA040). Tarea pendiente: aplicar factor de ajuste por diferencia de ancho de vía — ADIF utiliza trocha 1.435 mm en sus precios referenciales y el corredor LFC opera con trocha 914 mm. Los factores de ajuste aplicables están documentados en esta misma hoja, sección "Factores Ajuste Soberanía Técnica".</t>
        </is>
      </c>
    </row>
    <row r="10" ht="76.5" customHeight="1">
      <c r="A10" s="138" t="inlineStr">
        <is>
          <t>Conceptual LFC</t>
        </is>
      </c>
      <c r="B10" s="138" t="inlineStr">
        <is>
          <t>Interna</t>
        </is>
      </c>
      <c r="C10" s="139" t="inlineStr">
        <is>
          <t>Referencias USD por equipo</t>
        </is>
      </c>
      <c r="D10" s="140" t="inlineStr">
        <is>
          <t>Referencias internas de precios en USD por equipo unitario: enclavamiento 869.000 USD, motor de cambiavía 18.600 USD, señal luminosa LED 11.800 USD, armario PTC para paso a nivel 140.000 USD, torre del sistema de radio TETRA 73.100 USD. Estas cifras se utilizan como contraste cruzado contra el Banco de Precios ADIF y contra la cotización del consultor de diseño Ardanuy.</t>
        </is>
      </c>
    </row>
    <row r="11" ht="76.5" customHeight="1">
      <c r="A11" s="138" t="inlineStr">
        <is>
          <t>Mercado COL/LATAM (estimación)</t>
        </is>
      </c>
      <c r="B11" s="138" t="inlineStr">
        <is>
          <t>Externo</t>
        </is>
      </c>
      <c r="C11" s="139" t="inlineStr">
        <is>
          <t>F.O. G.652.D 48h, baterías LiFePO4</t>
        </is>
      </c>
      <c r="D11" s="140" t="inlineStr">
        <is>
          <t>Estimaciones de mercado nacional colombiano y latinoamericano para fibra óptica tipo G.652.D de 48 hilos y bancos de baterías de litio-ferrofosfato (LiFePO4). No constituye referencia contractualmente vinculante. Tarea pendiente: emitir solicitudes de cotización (RFQ) a proveedores y sustituir estas estimaciones por cotizaciones firmes. El listado priorizado se encuentra en la Hoja 6 — Pendientes RFQ.</t>
        </is>
      </c>
    </row>
    <row r="12">
      <c r="A12" s="200" t="n"/>
      <c r="B12" s="200" t="n"/>
      <c r="C12" s="4" t="n"/>
      <c r="D12" s="4" t="n"/>
    </row>
    <row r="13" ht="21.95" customHeight="1">
      <c r="A13" s="169" t="inlineStr">
        <is>
          <t>CONVERSIÓN MONETARIA</t>
        </is>
      </c>
      <c r="B13" s="247" t="n"/>
      <c r="C13" s="247" t="n"/>
      <c r="D13" s="248" t="n"/>
    </row>
    <row r="14">
      <c r="A14" s="136" t="inlineStr">
        <is>
          <t>TRM Risk</t>
        </is>
      </c>
      <c r="B14" s="141" t="n">
        <v>4400</v>
      </c>
      <c r="C14" s="137" t="inlineStr">
        <is>
          <t>COP/USD</t>
        </is>
      </c>
      <c r="D14" s="137" t="inlineStr">
        <is>
          <t>Techo cobertura. Margen ~+21% vs TRM real ~3,637.</t>
        </is>
      </c>
    </row>
    <row r="15">
      <c r="A15" s="167" t="inlineStr">
        <is>
          <t>EUR/USD</t>
        </is>
      </c>
      <c r="B15" s="34" t="n">
        <v>1.09</v>
      </c>
      <c r="C15" s="194" t="inlineStr">
        <is>
          <t>—</t>
        </is>
      </c>
      <c r="D15" s="194" t="inlineStr">
        <is>
          <t>Paridad ECB.</t>
        </is>
      </c>
    </row>
    <row r="16">
      <c r="A16" s="32" t="inlineStr">
        <is>
          <t>EUR/COP cruzada</t>
        </is>
      </c>
      <c r="B16" s="35" t="n">
        <v>4796</v>
      </c>
      <c r="C16" s="33" t="inlineStr">
        <is>
          <t>COP/EUR</t>
        </is>
      </c>
      <c r="D16" s="33" t="inlineStr">
        <is>
          <t>TRM × 1.09.</t>
        </is>
      </c>
    </row>
    <row r="17">
      <c r="A17" s="200" t="n"/>
      <c r="B17" s="200" t="n"/>
      <c r="C17" s="200" t="n"/>
      <c r="D17" s="200" t="n"/>
    </row>
    <row r="18" ht="21.95" customHeight="1">
      <c r="A18" s="169" t="inlineStr">
        <is>
          <t>FACTORES AJUSTE SOBERANÍA TÉCNICA (ADIF → LFC2)</t>
        </is>
      </c>
      <c r="B18" s="247" t="n"/>
      <c r="C18" s="247" t="n"/>
      <c r="D18" s="248" t="n"/>
    </row>
    <row r="19">
      <c r="A19" s="136" t="inlineStr">
        <is>
          <t>+15-25%</t>
        </is>
      </c>
      <c r="B19" s="136" t="inlineStr">
        <is>
          <t>Trocha 914mm</t>
        </is>
      </c>
      <c r="C19" s="136" t="inlineStr">
        <is>
          <t>Baja serie, fabricación de adaptación</t>
        </is>
      </c>
      <c r="D19" s="136" t="n"/>
    </row>
    <row r="20">
      <c r="A20" s="167" t="inlineStr">
        <is>
          <t>+12%</t>
        </is>
      </c>
      <c r="B20" s="167" t="inlineStr">
        <is>
          <t>Logística e importación</t>
        </is>
      </c>
      <c r="C20" s="167" t="inlineStr">
        <is>
          <t>Fletes, seguros, nacionalización</t>
        </is>
      </c>
      <c r="D20" s="167" t="n"/>
    </row>
    <row r="21">
      <c r="A21" s="32" t="inlineStr">
        <is>
          <t>-10%</t>
        </is>
      </c>
      <c r="B21" s="32" t="inlineStr">
        <is>
          <t>Mano de obra local COL</t>
        </is>
      </c>
      <c r="C21" s="32" t="inlineStr">
        <is>
          <t>Crédito por menor costo de instalación</t>
        </is>
      </c>
      <c r="D21" s="32" t="n"/>
    </row>
    <row r="22">
      <c r="A22" s="200" t="n"/>
      <c r="B22" s="200" t="n"/>
      <c r="C22" s="200" t="n"/>
      <c r="D22" s="200" t="n"/>
    </row>
    <row r="23">
      <c r="A23" s="163" t="inlineStr">
        <is>
          <t>ANÁLISIS COMPARATIVO — ARDANUY v1 vs LFC v14.7</t>
        </is>
      </c>
      <c r="B23" s="247" t="n"/>
      <c r="C23" s="247" t="n"/>
      <c r="D23" s="248" t="n"/>
    </row>
    <row r="24">
      <c r="A24" s="164" t="inlineStr">
        <is>
          <t>Cifras en M COP. Normalizadas a misma TRM. Fuente Ardanuy: fichero LFC-U2-CTSC-ED-QTO-CO-0001 del consultor de diseño.</t>
        </is>
      </c>
      <c r="B24" s="247" t="n"/>
      <c r="C24" s="247" t="n"/>
      <c r="D24" s="248" t="n"/>
    </row>
    <row r="25">
      <c r="A25" s="2" t="n"/>
      <c r="B25" s="2" t="n"/>
      <c r="C25" s="2" t="n"/>
      <c r="D25" s="2" t="n"/>
    </row>
    <row r="26">
      <c r="A26" s="162" t="inlineStr">
        <is>
          <t>SUBESTIMACIONES (LFC &lt; Ardanuy)</t>
        </is>
      </c>
      <c r="B26" s="247" t="n"/>
      <c r="C26" s="247" t="n"/>
      <c r="D26" s="248" t="n"/>
    </row>
    <row r="27">
      <c r="A27" s="162" t="inlineStr">
        <is>
          <t>Concepto</t>
        </is>
      </c>
      <c r="B27" s="162" t="inlineStr">
        <is>
          <t>LFC v14.7 (M COP)</t>
        </is>
      </c>
      <c r="C27" s="162" t="inlineStr">
        <is>
          <t>Ardanuy (M COP)</t>
        </is>
      </c>
      <c r="D27" s="162" t="inlineStr">
        <is>
          <t>Δ (M COP)</t>
        </is>
      </c>
    </row>
    <row r="28">
      <c r="A28" s="142" t="inlineStr">
        <is>
          <t>Obra civil fibra óptica</t>
        </is>
      </c>
      <c r="B28" s="143" t="n">
        <v>52219</v>
      </c>
      <c r="C28" s="143" t="n">
        <v>122894</v>
      </c>
      <c r="D28" s="144" t="n">
        <v>-70675</v>
      </c>
    </row>
    <row r="29">
      <c r="A29" s="142" t="inlineStr">
        <is>
          <t>Diseño Fase III</t>
        </is>
      </c>
      <c r="B29" s="143" t="inlineStr">
        <is>
          <t>—</t>
        </is>
      </c>
      <c r="C29" s="143" t="n">
        <v>12320</v>
      </c>
      <c r="D29" s="144" t="n">
        <v>-12320</v>
      </c>
    </row>
    <row r="30">
      <c r="A30" s="142" t="inlineStr">
        <is>
          <t>ENCE (5 unidades)</t>
        </is>
      </c>
      <c r="B30" s="143" t="n">
        <v>10000</v>
      </c>
      <c r="C30" s="143" t="n">
        <v>19126</v>
      </c>
      <c r="D30" s="144" t="n">
        <v>-9126</v>
      </c>
    </row>
    <row r="31">
      <c r="A31" s="142" t="inlineStr">
        <is>
          <t>Torres TETRA</t>
        </is>
      </c>
      <c r="B31" s="143" t="n">
        <v>6660</v>
      </c>
      <c r="C31" s="143" t="n">
        <v>13830</v>
      </c>
      <c r="D31" s="144" t="n">
        <v>-7170</v>
      </c>
    </row>
    <row r="32">
      <c r="A32" s="96" t="inlineStr">
        <is>
          <t>SUBTOTAL SUBESTIMADO</t>
        </is>
      </c>
      <c r="B32" s="157" t="n"/>
      <c r="C32" s="157" t="n"/>
      <c r="D32" s="146" t="n">
        <v>-99291</v>
      </c>
    </row>
    <row r="33">
      <c r="A33" s="2" t="n"/>
      <c r="B33" s="2" t="n"/>
      <c r="C33" s="2" t="n"/>
      <c r="D33" s="2" t="n"/>
    </row>
    <row r="34">
      <c r="A34" s="162" t="inlineStr">
        <is>
          <t>SOBREESTIMACIONES (LFC &gt; Ardanuy)</t>
        </is>
      </c>
      <c r="B34" s="247" t="n"/>
      <c r="C34" s="247" t="n"/>
      <c r="D34" s="248" t="n"/>
    </row>
    <row r="35">
      <c r="A35" s="159" t="inlineStr">
        <is>
          <t>Concepto</t>
        </is>
      </c>
      <c r="B35" s="159" t="inlineStr">
        <is>
          <t>LFC v14.7 (M COP)</t>
        </is>
      </c>
      <c r="C35" s="159" t="inlineStr">
        <is>
          <t>Ardanuy (M COP)</t>
        </is>
      </c>
      <c r="D35" s="159" t="inlineStr">
        <is>
          <t>Δ (M COP)</t>
        </is>
      </c>
    </row>
    <row r="36">
      <c r="A36" s="148" t="inlineStr">
        <is>
          <t>PaN equipos básicos</t>
        </is>
      </c>
      <c r="B36" s="149" t="n">
        <v>18238</v>
      </c>
      <c r="C36" s="149" t="n">
        <v>2544</v>
      </c>
      <c r="D36" s="149" t="n">
        <v>15694</v>
      </c>
    </row>
    <row r="37">
      <c r="A37" s="148" t="inlineStr">
        <is>
          <t>CCO software/hardware</t>
        </is>
      </c>
      <c r="B37" s="149" t="n">
        <v>16412</v>
      </c>
      <c r="C37" s="149" t="n">
        <v>8875</v>
      </c>
      <c r="D37" s="149" t="n">
        <v>7537</v>
      </c>
    </row>
    <row r="38">
      <c r="A38" s="148" t="inlineStr">
        <is>
          <t>Material Rodante OBU</t>
        </is>
      </c>
      <c r="B38" s="149" t="n">
        <v>15727</v>
      </c>
      <c r="C38" s="149" t="n">
        <v>10450</v>
      </c>
      <c r="D38" s="149" t="n">
        <v>5277</v>
      </c>
    </row>
    <row r="39">
      <c r="A39" s="148" t="inlineStr">
        <is>
          <t>Desvíos motorizados/talonables</t>
        </is>
      </c>
      <c r="B39" s="149" t="n">
        <v>36346</v>
      </c>
      <c r="C39" s="149" t="n">
        <v>6600</v>
      </c>
      <c r="D39" s="149" t="n">
        <v>29746</v>
      </c>
    </row>
    <row r="40">
      <c r="A40" s="157" t="inlineStr">
        <is>
          <t>SUBTOTAL SOBREESTIMADO</t>
        </is>
      </c>
      <c r="B40" s="157" t="n"/>
      <c r="C40" s="157" t="n"/>
      <c r="D40" s="150" t="n">
        <v>58254</v>
      </c>
    </row>
    <row r="41">
      <c r="A41" s="2" t="n"/>
      <c r="B41" s="2" t="n"/>
      <c r="C41" s="2" t="n"/>
      <c r="D41" s="2" t="n"/>
    </row>
    <row r="42">
      <c r="A42" s="159" t="inlineStr">
        <is>
          <t>NETO</t>
        </is>
      </c>
      <c r="B42" s="247" t="n"/>
      <c r="C42" s="247" t="n"/>
      <c r="D42" s="248" t="n"/>
    </row>
    <row r="43">
      <c r="A43" s="157" t="inlineStr">
        <is>
          <t>LFC v14.7 subestima respecto a Ardanuy</t>
        </is>
      </c>
      <c r="B43" s="247" t="n"/>
      <c r="C43" s="248" t="n"/>
      <c r="D43" s="151" t="n">
        <v>-41037</v>
      </c>
    </row>
    <row r="44">
      <c r="A44" s="158" t="inlineStr">
        <is>
          <t>Equivalente USD @ TRM 4.400: −9,3 M USD</t>
        </is>
      </c>
      <c r="B44" s="247" t="n"/>
      <c r="C44" s="247" t="n"/>
      <c r="D44" s="248" t="n"/>
    </row>
    <row r="45">
      <c r="A45" s="2" t="n"/>
      <c r="B45" s="2" t="n"/>
      <c r="C45" s="2" t="n"/>
      <c r="D45" s="2" t="n"/>
    </row>
    <row r="46" ht="15" customHeight="1">
      <c r="A46" s="159" t="inlineStr">
        <is>
          <t>LECTURA Y ACCIÓN PENDIENTE</t>
        </is>
      </c>
      <c r="B46" s="247" t="n"/>
      <c r="C46" s="247" t="n"/>
      <c r="D46" s="248" t="n"/>
    </row>
    <row r="47" ht="45" customHeight="1">
      <c r="A47" s="160" t="inlineStr">
        <is>
          <t>Ambos presupuestos quedan por debajo de la oferta de venta (324.107 M COP). El neto subestimado de LFC se compensa internamente con sus sobreestimaciones — el orden de magnitud total (260.010 M COP) es coherente con Ardanuy (252.251 M COP).</t>
        </is>
      </c>
      <c r="B47" s="247" t="n"/>
      <c r="C47" s="247" t="n"/>
      <c r="D47" s="248" t="n"/>
    </row>
    <row r="48">
      <c r="A48" s="2" t="n"/>
      <c r="B48" s="2" t="n"/>
      <c r="C48" s="2" t="n"/>
      <c r="D48" s="2" t="n"/>
    </row>
    <row r="49" ht="15" customHeight="1">
      <c r="A49" s="161" t="inlineStr">
        <is>
          <t>Acción pendiente — DT-COMS-008 (propuesta):</t>
        </is>
      </c>
      <c r="B49" s="247" t="n"/>
      <c r="C49" s="247" t="n"/>
      <c r="D49" s="248" t="n"/>
    </row>
    <row r="50" ht="54.95" customHeight="1">
      <c r="A50" s="160" t="inlineStr">
        <is>
          <t>(1) Subir partidas subestimadas (FO obra civil, Diseño Fase III, ENCE, Torres TETRA).
(2) Bajar partidas sobreestimadas (PaN básicos fuera de BCD §8.2, MR OBU, desvíos).
(3) Operación neutral en COP totales — mejora trazabilidad capítulo a capítulo respecto a la referencia Ardanuy.</t>
        </is>
      </c>
      <c r="B50" s="247" t="n"/>
      <c r="C50" s="247" t="n"/>
      <c r="D50" s="248" t="n"/>
    </row>
    <row r="52" ht="15" customHeight="1">
      <c r="A52" s="152" t="inlineStr">
        <is>
          <t>ACCIONES INMEDIATAS — HORIZONTE 1 (esta semana)</t>
        </is>
      </c>
    </row>
    <row r="53" ht="38.1" customHeight="1">
      <c r="A53" s="153" t="inlineStr">
        <is>
          <t>(1) Sacar los 122 PaN básicos del Cap 4.3 del alcance SCC (decisión de alcance según BCD §8.2). Libera aproximadamente 15.694 M COP de sobreestimación. Responsable: Diego. Plazo: inmediato.</t>
        </is>
      </c>
    </row>
    <row r="54" ht="38.1" customHeight="1">
      <c r="A54" s="154" t="inlineStr">
        <is>
          <t>(2) Recalcular desvíos motorizados con base ADIF código VEA010 más factor de ajuste por soberanía técnica (trocha 914 mm). El precio actual LFC está 5x sobre Ardanuy. Libera aproximadamente 25.000 M COP. Responsable: Equipo Señalización. Plazo: 3 días.</t>
        </is>
      </c>
      <c r="B54" s="303" t="n"/>
      <c r="C54" s="303" t="n"/>
      <c r="D54" s="303" t="n"/>
    </row>
    <row r="55" ht="38.1" customHeight="1">
      <c r="A55" s="155" t="inlineStr">
        <is>
          <t>(3) Cotizar obra civil de fibra óptica con constructor local (526 km de zanja, monotubo, restauración y atravesamientos). Validar si la cifra Ardanuy (122.894 M COP) incluye permisos prediales. Cubre la subestimación principal de 70.675 M COP. Responsable: Director Obras Civiles + Diego. Plazo: 1 semana.</t>
        </is>
      </c>
      <c r="B55" s="304" t="n"/>
      <c r="C55" s="304" t="n"/>
      <c r="D55" s="304" t="n"/>
    </row>
    <row r="57" ht="15" customHeight="1">
      <c r="A57" s="156" t="inlineStr">
        <is>
          <t>Detalle completo de acciones y responsables: documento DT-COMS-2026-008  (Ardanuy + LFC + Ortiz).</t>
        </is>
      </c>
    </row>
  </sheetData>
  <mergeCells count="20">
    <mergeCell ref="A23:D23"/>
    <mergeCell ref="A53:D53"/>
    <mergeCell ref="A52:D52"/>
    <mergeCell ref="A13:D13"/>
    <mergeCell ref="A44:D44"/>
    <mergeCell ref="A34:D34"/>
    <mergeCell ref="A24:D24"/>
    <mergeCell ref="A49:D49"/>
    <mergeCell ref="A43:C43"/>
    <mergeCell ref="A1:D1"/>
    <mergeCell ref="A54:D54"/>
    <mergeCell ref="A46:D46"/>
    <mergeCell ref="A18:D18"/>
    <mergeCell ref="A50:D50"/>
    <mergeCell ref="A26:D26"/>
    <mergeCell ref="A55:D55"/>
    <mergeCell ref="A57:D57"/>
    <mergeCell ref="A2:D2"/>
    <mergeCell ref="A47:D47"/>
    <mergeCell ref="A42:D42"/>
  </mergeCells>
  <pageMargins left="0.5" right="0.5" top="0.5" bottom="0.5" header="0.25" footer="0.25"/>
  <pageSetup orientation="landscape" paperSize="9"/>
</worksheet>
</file>

<file path=xl/worksheets/sheet9.xml><?xml version="1.0" encoding="utf-8"?>
<worksheet xmlns="http://schemas.openxmlformats.org/spreadsheetml/2006/main">
  <sheetPr>
    <outlinePr summaryBelow="1" summaryRight="1"/>
    <pageSetUpPr/>
  </sheetPr>
  <dimension ref="A1:J138"/>
  <sheetViews>
    <sheetView showGridLines="0" workbookViewId="0">
      <selection activeCell="A1" sqref="A1"/>
    </sheetView>
  </sheetViews>
  <sheetFormatPr baseColWidth="8" defaultRowHeight="15"/>
  <cols>
    <col width="10" customWidth="1" min="1" max="1"/>
    <col width="40" customWidth="1" min="2" max="2"/>
    <col width="16" customWidth="1" min="3" max="3"/>
    <col width="12" customWidth="1" min="4" max="4"/>
    <col width="22" customWidth="1" min="5" max="5"/>
    <col width="12" customWidth="1" min="6" max="6"/>
    <col width="9" customWidth="1" min="7" max="7"/>
    <col width="12" customWidth="1" min="8" max="8"/>
    <col width="40" customWidth="1" min="9" max="9"/>
    <col width="30" customWidth="1" min="10" max="10"/>
  </cols>
  <sheetData>
    <row r="1" ht="24" customHeight="1">
      <c r="A1" s="305" t="inlineStr">
        <is>
          <t>VALIDACIÓN CONTRA ADIF BPA — v1.4.0 · válida 19/02/2026 · consulta 23/05/2026 · TRM 4.400 · EUR/COP 4.796</t>
        </is>
      </c>
    </row>
    <row r="3">
      <c r="A3" s="306" t="inlineStr">
        <is>
          <t>Ítem</t>
        </is>
      </c>
      <c r="B3" s="306" t="inlineStr">
        <is>
          <t>Descripción</t>
        </is>
      </c>
      <c r="C3" s="307" t="inlineStr">
        <is>
          <t>VU Excel (COP)</t>
        </is>
      </c>
      <c r="D3" s="307" t="inlineStr">
        <is>
          <t>VU Excel (€)</t>
        </is>
      </c>
      <c r="E3" s="306" t="inlineStr">
        <is>
          <t>Ref BPA (código)</t>
        </is>
      </c>
      <c r="F3" s="307" t="inlineStr">
        <is>
          <t>Ref BPA (€)</t>
        </is>
      </c>
      <c r="G3" s="307" t="inlineStr">
        <is>
          <t>Delta %</t>
        </is>
      </c>
      <c r="H3" s="307" t="inlineStr">
        <is>
          <t>Estado</t>
        </is>
      </c>
      <c r="I3" s="306" t="inlineStr">
        <is>
          <t>Nota</t>
        </is>
      </c>
      <c r="J3" s="306" t="inlineStr">
        <is>
          <t>URL BPA</t>
        </is>
      </c>
    </row>
    <row r="4">
      <c r="A4" s="308" t="inlineStr">
        <is>
          <t>1.1.100</t>
        </is>
      </c>
      <c r="B4" s="308" t="inlineStr">
        <is>
          <t>Servidores CTC principales</t>
        </is>
      </c>
      <c r="C4" s="309" t="n">
        <v>180000000</v>
      </c>
      <c r="D4" s="310" t="n">
        <v>37531</v>
      </c>
      <c r="E4" s="308" t="inlineStr">
        <is>
          <t>—</t>
        </is>
      </c>
      <c r="F4" s="310" t="inlineStr"/>
      <c r="G4" s="311" t="inlineStr"/>
      <c r="H4" s="312" t="inlineStr">
        <is>
          <t>⬜ SIN REF</t>
        </is>
      </c>
      <c r="I4" s="313" t="inlineStr">
        <is>
          <t>Sin partida BPA directa → RFQ pendiente.</t>
        </is>
      </c>
      <c r="J4" s="314" t="inlineStr"/>
    </row>
    <row r="5">
      <c r="A5" s="308" t="inlineStr">
        <is>
          <t>1.1.101</t>
        </is>
      </c>
      <c r="B5" s="308" t="inlineStr">
        <is>
          <t>Servidores CTC respaldo</t>
        </is>
      </c>
      <c r="C5" s="309" t="n">
        <v>180000000</v>
      </c>
      <c r="D5" s="310" t="n">
        <v>37531</v>
      </c>
      <c r="E5" s="308" t="inlineStr">
        <is>
          <t>—</t>
        </is>
      </c>
      <c r="F5" s="310" t="inlineStr"/>
      <c r="G5" s="311" t="inlineStr"/>
      <c r="H5" s="312" t="inlineStr">
        <is>
          <t>⬜ SIN REF</t>
        </is>
      </c>
      <c r="I5" s="313" t="inlineStr">
        <is>
          <t>Sin partida BPA directa → RFQ pendiente.</t>
        </is>
      </c>
      <c r="J5" s="314" t="inlineStr"/>
    </row>
    <row r="6">
      <c r="A6" s="308" t="inlineStr">
        <is>
          <t>1.1.102</t>
        </is>
      </c>
      <c r="B6" s="308" t="inlineStr">
        <is>
          <t>Workstations operadores</t>
        </is>
      </c>
      <c r="C6" s="309" t="n">
        <v>45000000</v>
      </c>
      <c r="D6" s="310" t="n">
        <v>9383</v>
      </c>
      <c r="E6" s="308" t="inlineStr">
        <is>
          <t>—</t>
        </is>
      </c>
      <c r="F6" s="310" t="inlineStr"/>
      <c r="G6" s="311" t="inlineStr"/>
      <c r="H6" s="312" t="inlineStr">
        <is>
          <t>⬜ SIN REF</t>
        </is>
      </c>
      <c r="I6" s="313" t="inlineStr">
        <is>
          <t>Sin partida BPA directa → RFQ pendiente.</t>
        </is>
      </c>
      <c r="J6" s="314" t="inlineStr"/>
    </row>
    <row r="7">
      <c r="A7" s="308" t="inlineStr">
        <is>
          <t>1.1.103</t>
        </is>
      </c>
      <c r="B7" s="308" t="inlineStr">
        <is>
          <t>Software CTC virtual + Autorizaciones PTC (Interoperabilidad Procedimental)</t>
        </is>
      </c>
      <c r="C7" s="309" t="n">
        <v>11000000000</v>
      </c>
      <c r="D7" s="310" t="n">
        <v>2293578</v>
      </c>
      <c r="E7" s="308" t="inlineStr">
        <is>
          <t>—</t>
        </is>
      </c>
      <c r="F7" s="310" t="inlineStr"/>
      <c r="G7" s="311" t="inlineStr"/>
      <c r="H7" s="312" t="inlineStr">
        <is>
          <t>⬜ SIN REF</t>
        </is>
      </c>
      <c r="I7" s="313" t="inlineStr">
        <is>
          <t>Sin partida BPA directa → RFQ pendiente.</t>
        </is>
      </c>
      <c r="J7" s="314" t="inlineStr"/>
    </row>
    <row r="8">
      <c r="A8" s="308" t="inlineStr">
        <is>
          <t>1.1.104</t>
        </is>
      </c>
      <c r="B8" s="308" t="inlineStr">
        <is>
          <t>Base de datos centralizada</t>
        </is>
      </c>
      <c r="C8" s="309" t="n">
        <v>200000000</v>
      </c>
      <c r="D8" s="310" t="n">
        <v>41701</v>
      </c>
      <c r="E8" s="308" t="inlineStr">
        <is>
          <t>—</t>
        </is>
      </c>
      <c r="F8" s="310" t="inlineStr"/>
      <c r="G8" s="311" t="inlineStr"/>
      <c r="H8" s="312" t="inlineStr">
        <is>
          <t>⬜ SIN REF</t>
        </is>
      </c>
      <c r="I8" s="313" t="inlineStr">
        <is>
          <t>Sin partida BPA directa → RFQ pendiente.</t>
        </is>
      </c>
      <c r="J8" s="314" t="inlineStr"/>
    </row>
    <row r="9">
      <c r="A9" s="308" t="inlineStr">
        <is>
          <t>1.1.105</t>
        </is>
      </c>
      <c r="B9" s="308" t="inlineStr">
        <is>
          <t>Sistema redundancia</t>
        </is>
      </c>
      <c r="C9" s="309" t="n">
        <v>300000000</v>
      </c>
      <c r="D9" s="310" t="n">
        <v>62552</v>
      </c>
      <c r="E9" s="308" t="inlineStr">
        <is>
          <t>—</t>
        </is>
      </c>
      <c r="F9" s="310" t="inlineStr"/>
      <c r="G9" s="311" t="inlineStr"/>
      <c r="H9" s="312" t="inlineStr">
        <is>
          <t>⬜ SIN REF</t>
        </is>
      </c>
      <c r="I9" s="313" t="inlineStr">
        <is>
          <t>Sin partida BPA directa → RFQ pendiente.</t>
        </is>
      </c>
      <c r="J9" s="314" t="inlineStr"/>
    </row>
    <row r="10">
      <c r="A10" s="308" t="inlineStr">
        <is>
          <t>1.1.106</t>
        </is>
      </c>
      <c r="B10" s="308" t="inlineStr">
        <is>
          <t>Interfaces comunicación</t>
        </is>
      </c>
      <c r="C10" s="309" t="n">
        <v>150000000</v>
      </c>
      <c r="D10" s="310" t="n">
        <v>31276</v>
      </c>
      <c r="E10" s="308" t="inlineStr">
        <is>
          <t>—</t>
        </is>
      </c>
      <c r="F10" s="310" t="inlineStr"/>
      <c r="G10" s="311" t="inlineStr"/>
      <c r="H10" s="312" t="inlineStr">
        <is>
          <t>⬜ SIN REF</t>
        </is>
      </c>
      <c r="I10" s="313" t="inlineStr">
        <is>
          <t>Sin partida BPA directa → RFQ pendiente.</t>
        </is>
      </c>
      <c r="J10" s="314" t="inlineStr"/>
    </row>
    <row r="11">
      <c r="A11" s="308" t="inlineStr">
        <is>
          <t>1.2.100</t>
        </is>
      </c>
      <c r="B11" s="308" t="inlineStr">
        <is>
          <t>Computadora PTC embarcada</t>
        </is>
      </c>
      <c r="C11" s="309" t="n">
        <v>120000000</v>
      </c>
      <c r="D11" s="310" t="n">
        <v>25021</v>
      </c>
      <c r="E11" s="308" t="inlineStr">
        <is>
          <t>—</t>
        </is>
      </c>
      <c r="F11" s="310" t="inlineStr"/>
      <c r="G11" s="311" t="inlineStr"/>
      <c r="H11" s="312" t="inlineStr">
        <is>
          <t>⬜ SIN REF</t>
        </is>
      </c>
      <c r="I11" s="313" t="inlineStr">
        <is>
          <t>Sin partida BPA directa → RFQ pendiente.</t>
        </is>
      </c>
      <c r="J11" s="314" t="inlineStr"/>
    </row>
    <row r="12">
      <c r="A12" s="308" t="inlineStr">
        <is>
          <t>1.2.101</t>
        </is>
      </c>
      <c r="B12" s="308" t="inlineStr">
        <is>
          <t>Display maquinista</t>
        </is>
      </c>
      <c r="C12" s="309" t="n">
        <v>80000000</v>
      </c>
      <c r="D12" s="310" t="n">
        <v>16681</v>
      </c>
      <c r="E12" s="308" t="inlineStr">
        <is>
          <t>—</t>
        </is>
      </c>
      <c r="F12" s="310" t="inlineStr"/>
      <c r="G12" s="311" t="inlineStr"/>
      <c r="H12" s="312" t="inlineStr">
        <is>
          <t>⬜ SIN REF</t>
        </is>
      </c>
      <c r="I12" s="313" t="inlineStr">
        <is>
          <t>Sin partida BPA directa → RFQ pendiente.</t>
        </is>
      </c>
      <c r="J12" s="314" t="inlineStr"/>
    </row>
    <row r="13">
      <c r="A13" s="308" t="inlineStr">
        <is>
          <t>1.2.102</t>
        </is>
      </c>
      <c r="B13" s="308" t="inlineStr">
        <is>
          <t>Sensores velocidad</t>
        </is>
      </c>
      <c r="C13" s="309" t="n">
        <v>25000000</v>
      </c>
      <c r="D13" s="310" t="n">
        <v>5213</v>
      </c>
      <c r="E13" s="308" t="inlineStr">
        <is>
          <t>—</t>
        </is>
      </c>
      <c r="F13" s="310" t="inlineStr"/>
      <c r="G13" s="311" t="inlineStr"/>
      <c r="H13" s="312" t="inlineStr">
        <is>
          <t>⬜ SIN REF</t>
        </is>
      </c>
      <c r="I13" s="313" t="inlineStr">
        <is>
          <t>Sin partida BPA directa → RFQ pendiente.</t>
        </is>
      </c>
      <c r="J13" s="314" t="inlineStr"/>
    </row>
    <row r="14">
      <c r="A14" s="308" t="inlineStr">
        <is>
          <t>1.2.103</t>
        </is>
      </c>
      <c r="B14" s="308" t="inlineStr">
        <is>
          <t>Sistema GPS</t>
        </is>
      </c>
      <c r="C14" s="309" t="n">
        <v>35000000</v>
      </c>
      <c r="D14" s="310" t="n">
        <v>7298</v>
      </c>
      <c r="E14" s="308" t="inlineStr">
        <is>
          <t>—</t>
        </is>
      </c>
      <c r="F14" s="310" t="inlineStr"/>
      <c r="G14" s="311" t="inlineStr"/>
      <c r="H14" s="312" t="inlineStr">
        <is>
          <t>⬜ SIN REF</t>
        </is>
      </c>
      <c r="I14" s="313" t="inlineStr">
        <is>
          <t>Sin partida BPA directa → RFQ pendiente.</t>
        </is>
      </c>
      <c r="J14" s="314" t="inlineStr"/>
    </row>
    <row r="15">
      <c r="A15" s="308" t="inlineStr">
        <is>
          <t>1.2.104</t>
        </is>
      </c>
      <c r="B15" s="308" t="inlineStr">
        <is>
          <t>Software PTC</t>
        </is>
      </c>
      <c r="C15" s="309" t="n">
        <v>100000000</v>
      </c>
      <c r="D15" s="310" t="n">
        <v>20851</v>
      </c>
      <c r="E15" s="308" t="inlineStr">
        <is>
          <t>—</t>
        </is>
      </c>
      <c r="F15" s="310" t="inlineStr"/>
      <c r="G15" s="311" t="inlineStr"/>
      <c r="H15" s="312" t="inlineStr">
        <is>
          <t>⬜ SIN REF</t>
        </is>
      </c>
      <c r="I15" s="313" t="inlineStr">
        <is>
          <t>Sin partida BPA directa → RFQ pendiente.</t>
        </is>
      </c>
      <c r="J15" s="314" t="inlineStr"/>
    </row>
    <row r="16">
      <c r="A16" s="308" t="inlineStr">
        <is>
          <t>1.2.105</t>
        </is>
      </c>
      <c r="B16" s="308" t="inlineStr">
        <is>
          <t>Interfaces frenos</t>
        </is>
      </c>
      <c r="C16" s="309" t="n">
        <v>30000000</v>
      </c>
      <c r="D16" s="310" t="n">
        <v>6255</v>
      </c>
      <c r="E16" s="308" t="inlineStr">
        <is>
          <t>—</t>
        </is>
      </c>
      <c r="F16" s="310" t="inlineStr"/>
      <c r="G16" s="311" t="inlineStr"/>
      <c r="H16" s="312" t="inlineStr">
        <is>
          <t>⬜ SIN REF</t>
        </is>
      </c>
      <c r="I16" s="313" t="inlineStr">
        <is>
          <t>Sin partida BPA directa → RFQ pendiente.</t>
        </is>
      </c>
      <c r="J16" s="314" t="inlineStr"/>
    </row>
    <row r="17">
      <c r="A17" s="308" t="inlineStr">
        <is>
          <t>1.2.106</t>
        </is>
      </c>
      <c r="B17" s="308" t="inlineStr">
        <is>
          <t>Sistema redundancia</t>
        </is>
      </c>
      <c r="C17" s="309" t="n">
        <v>50000000</v>
      </c>
      <c r="D17" s="310" t="n">
        <v>10425</v>
      </c>
      <c r="E17" s="308" t="inlineStr">
        <is>
          <t>—</t>
        </is>
      </c>
      <c r="F17" s="310" t="inlineStr"/>
      <c r="G17" s="311" t="inlineStr"/>
      <c r="H17" s="312" t="inlineStr">
        <is>
          <t>⬜ SIN REF</t>
        </is>
      </c>
      <c r="I17" s="313" t="inlineStr">
        <is>
          <t>Sin partida BPA directa → RFQ pendiente.</t>
        </is>
      </c>
      <c r="J17" s="314" t="inlineStr"/>
    </row>
    <row r="18">
      <c r="A18" s="308" t="inlineStr">
        <is>
          <t>1.3.100</t>
        </is>
      </c>
      <c r="B18" s="308" t="inlineStr">
        <is>
          <t>Controlador ENCE Zapatosa (DT-COMS-2026-007: ADIF CAC020 €356,780 + ajustes troc</t>
        </is>
      </c>
      <c r="C18" s="309" t="n">
        <v>2000000000</v>
      </c>
      <c r="D18" s="310" t="n">
        <v>417014</v>
      </c>
      <c r="E18" s="308" t="inlineStr">
        <is>
          <t>núcleo CAC + módulos objeto</t>
        </is>
      </c>
      <c r="F18" s="310" t="n">
        <v>414305</v>
      </c>
      <c r="G18" s="311" t="inlineStr">
        <is>
          <t>+1%</t>
        </is>
      </c>
      <c r="H18" s="315" t="inlineStr">
        <is>
          <t>✅ OK</t>
        </is>
      </c>
      <c r="I18" s="313" t="inlineStr">
        <is>
          <t>ENCE completo (núcleo €249.783 + módulos €164.522). Nota "CAC020 €356.780" INCORRECTA → real €118.006.</t>
        </is>
      </c>
      <c r="J18" s="316" t="inlineStr">
        <is>
          <t>https://bpa.adif.es/bp1/#/concept/152945939</t>
        </is>
      </c>
    </row>
    <row r="19">
      <c r="A19" s="308" t="inlineStr">
        <is>
          <t>1.3.101</t>
        </is>
      </c>
      <c r="B19" s="308" t="inlineStr">
        <is>
          <t>Controlador ENCE García Cadena (DT-COMS-2026-007)</t>
        </is>
      </c>
      <c r="C19" s="309" t="n">
        <v>2000000000</v>
      </c>
      <c r="D19" s="310" t="n">
        <v>417014</v>
      </c>
      <c r="E19" s="308" t="inlineStr">
        <is>
          <t>núcleo CAC + módulos objeto</t>
        </is>
      </c>
      <c r="F19" s="310" t="n">
        <v>414305</v>
      </c>
      <c r="G19" s="311" t="inlineStr">
        <is>
          <t>+1%</t>
        </is>
      </c>
      <c r="H19" s="315" t="inlineStr">
        <is>
          <t>✅ OK</t>
        </is>
      </c>
      <c r="I19" s="313" t="inlineStr">
        <is>
          <t>ENCE completo (núcleo €249.783 + módulos €164.522). Nota "CAC020 €356.780" INCORRECTA → real €118.006.</t>
        </is>
      </c>
      <c r="J19" s="316" t="inlineStr">
        <is>
          <t>https://bpa.adif.es/bp1/#/concept/152945939</t>
        </is>
      </c>
    </row>
    <row r="20">
      <c r="A20" s="308" t="inlineStr">
        <is>
          <t>1.3.102</t>
        </is>
      </c>
      <c r="B20" s="308" t="inlineStr">
        <is>
          <t>Controlador ENCE Barrancabermeja (Puerto) (DT-COMS-2026-007)</t>
        </is>
      </c>
      <c r="C20" s="309" t="n">
        <v>2000000000</v>
      </c>
      <c r="D20" s="310" t="n">
        <v>417014</v>
      </c>
      <c r="E20" s="308" t="inlineStr">
        <is>
          <t>núcleo CAC + módulos objeto</t>
        </is>
      </c>
      <c r="F20" s="310" t="n">
        <v>414305</v>
      </c>
      <c r="G20" s="311" t="inlineStr">
        <is>
          <t>+1%</t>
        </is>
      </c>
      <c r="H20" s="315" t="inlineStr">
        <is>
          <t>✅ OK</t>
        </is>
      </c>
      <c r="I20" s="313" t="inlineStr">
        <is>
          <t>ENCE completo (núcleo €249.783 + módulos €164.522). Nota "CAC020 €356.780" INCORRECTA → real €118.006.</t>
        </is>
      </c>
      <c r="J20" s="316" t="inlineStr">
        <is>
          <t>https://bpa.adif.es/bp1/#/concept/152945939</t>
        </is>
      </c>
    </row>
    <row r="21">
      <c r="A21" s="308" t="inlineStr">
        <is>
          <t>1.3.103</t>
        </is>
      </c>
      <c r="B21" s="308" t="inlineStr">
        <is>
          <t>Controlador ENCE Puerto Berrío-Grecia (DT-COMS-2026-007)</t>
        </is>
      </c>
      <c r="C21" s="309" t="n">
        <v>2000000000</v>
      </c>
      <c r="D21" s="310" t="n">
        <v>417014</v>
      </c>
      <c r="E21" s="308" t="inlineStr">
        <is>
          <t>núcleo CAC + módulos objeto</t>
        </is>
      </c>
      <c r="F21" s="310" t="n">
        <v>414305</v>
      </c>
      <c r="G21" s="311" t="inlineStr">
        <is>
          <t>+1%</t>
        </is>
      </c>
      <c r="H21" s="315" t="inlineStr">
        <is>
          <t>✅ OK</t>
        </is>
      </c>
      <c r="I21" s="313" t="inlineStr">
        <is>
          <t>ENCE completo (núcleo €249.783 + módulos €164.522). Nota "CAC020 €356.780" INCORRECTA → real €118.006.</t>
        </is>
      </c>
      <c r="J21" s="316" t="inlineStr">
        <is>
          <t>https://bpa.adif.es/bp1/#/concept/152945939</t>
        </is>
      </c>
    </row>
    <row r="22">
      <c r="A22" s="308" t="inlineStr">
        <is>
          <t>1.3.104</t>
        </is>
      </c>
      <c r="B22" s="308" t="inlineStr">
        <is>
          <t>Controlador ENCE La Dorada-México (DT-COMS-2026-007)</t>
        </is>
      </c>
      <c r="C22" s="309" t="n">
        <v>2000000000</v>
      </c>
      <c r="D22" s="310" t="n">
        <v>417014</v>
      </c>
      <c r="E22" s="308" t="inlineStr">
        <is>
          <t>núcleo CAC + módulos objeto</t>
        </is>
      </c>
      <c r="F22" s="310" t="n">
        <v>414305</v>
      </c>
      <c r="G22" s="311" t="inlineStr">
        <is>
          <t>+1%</t>
        </is>
      </c>
      <c r="H22" s="315" t="inlineStr">
        <is>
          <t>✅ OK</t>
        </is>
      </c>
      <c r="I22" s="313" t="inlineStr">
        <is>
          <t>ENCE completo (núcleo €249.783 + módulos €164.522). Nota "CAC020 €356.780" INCORRECTA → real €118.006.</t>
        </is>
      </c>
      <c r="J22" s="316" t="inlineStr">
        <is>
          <t>https://bpa.adif.es/bp1/#/concept/152945939</t>
        </is>
      </c>
    </row>
    <row r="23">
      <c r="A23" s="308" t="inlineStr">
        <is>
          <t>1.3.105</t>
        </is>
      </c>
      <c r="B23" s="308" t="inlineStr">
        <is>
          <t>Sistema redundancia ENCE</t>
        </is>
      </c>
      <c r="C23" s="309" t="n">
        <v>400000000</v>
      </c>
      <c r="D23" s="310" t="n">
        <v>83403</v>
      </c>
      <c r="E23" s="308" t="inlineStr">
        <is>
          <t>—</t>
        </is>
      </c>
      <c r="F23" s="310" t="inlineStr"/>
      <c r="G23" s="311" t="inlineStr"/>
      <c r="H23" s="312" t="inlineStr">
        <is>
          <t>⬜ SIN REF</t>
        </is>
      </c>
      <c r="I23" s="313" t="inlineStr">
        <is>
          <t>Sin partida BPA directa → RFQ pendiente.</t>
        </is>
      </c>
      <c r="J23" s="314" t="inlineStr"/>
    </row>
    <row r="24">
      <c r="A24" s="308" t="inlineStr">
        <is>
          <t>1.3.106</t>
        </is>
      </c>
      <c r="B24" s="308" t="inlineStr">
        <is>
          <t>Interfaces CTC-ENCE</t>
        </is>
      </c>
      <c r="C24" s="309" t="n">
        <v>60000000</v>
      </c>
      <c r="D24" s="310" t="n">
        <v>12510</v>
      </c>
      <c r="E24" s="308" t="inlineStr">
        <is>
          <t>—</t>
        </is>
      </c>
      <c r="F24" s="310" t="inlineStr"/>
      <c r="G24" s="311" t="inlineStr"/>
      <c r="H24" s="312" t="inlineStr">
        <is>
          <t>⬜ SIN REF</t>
        </is>
      </c>
      <c r="I24" s="313" t="inlineStr">
        <is>
          <t>Sin partida BPA directa → RFQ pendiente.</t>
        </is>
      </c>
      <c r="J24" s="314" t="inlineStr"/>
    </row>
    <row r="25">
      <c r="A25" s="308" t="inlineStr">
        <is>
          <t>1.4.100</t>
        </is>
      </c>
      <c r="B25" s="308" t="inlineStr">
        <is>
          <t>Desvíos motorizados CTC (DT-COMS-2026-007: ADIF VEA010 €114,320 + ajustes trocha</t>
        </is>
      </c>
      <c r="C25" s="309" t="n">
        <v>640000000</v>
      </c>
      <c r="D25" s="310" t="n">
        <v>133445</v>
      </c>
      <c r="E25" s="308" t="inlineStr">
        <is>
          <t>VEA010+CFA010+CFA040+CFA030</t>
        </is>
      </c>
      <c r="F25" s="310" t="n">
        <v>122397</v>
      </c>
      <c r="G25" s="311" t="inlineStr">
        <is>
          <t>+9%</t>
        </is>
      </c>
      <c r="H25" s="315" t="inlineStr">
        <is>
          <t>✅ OK</t>
        </is>
      </c>
      <c r="I25" s="313" t="inlineStr">
        <is>
          <t>Suministro €104.566 + motor + comprobador + cerrojo. Montaje y trocha 914mm justifican el delta.</t>
        </is>
      </c>
      <c r="J25" s="316" t="inlineStr">
        <is>
          <t>https://bpa.adif.es/bp1/#/concept/156706377</t>
        </is>
      </c>
    </row>
    <row r="26">
      <c r="A26" s="308" t="inlineStr">
        <is>
          <t>1.4.101</t>
        </is>
      </c>
      <c r="B26" s="308" t="inlineStr">
        <is>
          <t>Sistemas control remoto + redundancia N+1</t>
        </is>
      </c>
      <c r="C26" s="309" t="n">
        <v>134577000</v>
      </c>
      <c r="D26" s="310" t="n">
        <v>28060</v>
      </c>
      <c r="E26" s="308" t="inlineStr">
        <is>
          <t>—</t>
        </is>
      </c>
      <c r="F26" s="310" t="inlineStr"/>
      <c r="G26" s="311" t="inlineStr"/>
      <c r="H26" s="312" t="inlineStr">
        <is>
          <t>⬜ SIN REF</t>
        </is>
      </c>
      <c r="I26" s="313" t="inlineStr">
        <is>
          <t>Sin partida BPA directa → RFQ pendiente.</t>
        </is>
      </c>
      <c r="J26" s="314" t="inlineStr"/>
    </row>
    <row r="27">
      <c r="A27" s="308" t="inlineStr">
        <is>
          <t>1.4.102</t>
        </is>
      </c>
      <c r="B27" s="308" t="inlineStr">
        <is>
          <t>Interfaces CTC/ENCE</t>
        </is>
      </c>
      <c r="C27" s="309" t="n">
        <v>67288000</v>
      </c>
      <c r="D27" s="310" t="n">
        <v>14030</v>
      </c>
      <c r="E27" s="308" t="inlineStr">
        <is>
          <t>—</t>
        </is>
      </c>
      <c r="F27" s="310" t="inlineStr"/>
      <c r="G27" s="311" t="inlineStr"/>
      <c r="H27" s="312" t="inlineStr">
        <is>
          <t>⬜ SIN REF</t>
        </is>
      </c>
      <c r="I27" s="313" t="inlineStr">
        <is>
          <t>Sin partida BPA directa → RFQ pendiente.</t>
        </is>
      </c>
      <c r="J27" s="314" t="inlineStr"/>
    </row>
    <row r="28">
      <c r="A28" s="308" t="inlineStr">
        <is>
          <t>1.5.100</t>
        </is>
      </c>
      <c r="B28" s="308" t="inlineStr">
        <is>
          <t>Desvíos manuales autotalonables (con comprobador integrado)</t>
        </is>
      </c>
      <c r="C28" s="309" t="n">
        <v>134577000</v>
      </c>
      <c r="D28" s="310" t="n">
        <v>28060</v>
      </c>
      <c r="E28" s="308" t="inlineStr">
        <is>
          <t>CFA040caa (+ switch)</t>
        </is>
      </c>
      <c r="F28" s="310" t="n">
        <v>4964</v>
      </c>
      <c r="G28" s="311" t="inlineStr">
        <is>
          <t>n/a</t>
        </is>
      </c>
      <c r="H28" s="317" t="inlineStr">
        <is>
          <t>⚠ alcance distinto</t>
        </is>
      </c>
      <c r="I28" s="313" t="inlineStr">
        <is>
          <t>BPA cubre solo el comprobador ($23,8M). El VU incluye el switch autotalonable completo + telemetría → alcance distinto, no comparable directo.</t>
        </is>
      </c>
      <c r="J28" s="316" t="inlineStr">
        <is>
          <t>https://bpa.adif.es/bp1/#/concept/151681024</t>
        </is>
      </c>
    </row>
    <row r="29">
      <c r="A29" s="308" t="inlineStr">
        <is>
          <t>1.5.101</t>
        </is>
      </c>
      <c r="B29" s="308" t="inlineStr">
        <is>
          <t>Señalización semafórica estaciones ENCE (5 estaciones × 6 señales/estación prome</t>
        </is>
      </c>
      <c r="C29" s="309" t="n">
        <v>51920000</v>
      </c>
      <c r="D29" s="310" t="n">
        <v>10826</v>
      </c>
      <c r="E29" s="308" t="inlineStr">
        <is>
          <t>CCA040ebaad</t>
        </is>
      </c>
      <c r="F29" s="310" t="n">
        <v>7934</v>
      </c>
      <c r="G29" s="311" t="inlineStr">
        <is>
          <t>+36%</t>
        </is>
      </c>
      <c r="H29" s="315" t="inlineStr">
        <is>
          <t>✅ OK</t>
        </is>
      </c>
      <c r="I29" s="313" t="inlineStr">
        <is>
          <t>Señal alta LED 3 focos €7.934. Delta por poste + montaje + factor Colombia.</t>
        </is>
      </c>
      <c r="J29" s="316" t="inlineStr">
        <is>
          <t>https://bpa.adif.es/bp1/#/concept/153988522</t>
        </is>
      </c>
    </row>
    <row r="30">
      <c r="A30" s="308" t="inlineStr">
        <is>
          <t>1.5.102</t>
        </is>
      </c>
      <c r="B30" s="308" t="inlineStr">
        <is>
          <t>Herramientas operación (kit completo certificado)</t>
        </is>
      </c>
      <c r="C30" s="309" t="n">
        <v>13458000</v>
      </c>
      <c r="D30" s="310" t="n">
        <v>2806</v>
      </c>
      <c r="E30" s="308" t="inlineStr">
        <is>
          <t>—</t>
        </is>
      </c>
      <c r="F30" s="310" t="inlineStr"/>
      <c r="G30" s="311" t="inlineStr"/>
      <c r="H30" s="312" t="inlineStr">
        <is>
          <t>⬜ SIN REF</t>
        </is>
      </c>
      <c r="I30" s="313" t="inlineStr">
        <is>
          <t>Sin partida BPA directa → RFQ pendiente.</t>
        </is>
      </c>
      <c r="J30" s="314" t="inlineStr"/>
    </row>
    <row r="31">
      <c r="A31" s="308" t="inlineStr">
        <is>
          <t>2.1.100</t>
        </is>
      </c>
      <c r="B31" s="308" t="inlineStr">
        <is>
          <t>Torres autosoportadas</t>
        </is>
      </c>
      <c r="C31" s="309" t="n">
        <v>180000000</v>
      </c>
      <c r="D31" s="310" t="n">
        <v>37531</v>
      </c>
      <c r="E31" s="308" t="inlineStr">
        <is>
          <t>—</t>
        </is>
      </c>
      <c r="F31" s="310" t="inlineStr"/>
      <c r="G31" s="311" t="inlineStr"/>
      <c r="H31" s="312" t="inlineStr">
        <is>
          <t>⬜ SIN REF</t>
        </is>
      </c>
      <c r="I31" s="313" t="inlineStr">
        <is>
          <t>Sin partida BPA directa → RFQ pendiente.</t>
        </is>
      </c>
      <c r="J31" s="314" t="inlineStr"/>
    </row>
    <row r="32">
      <c r="A32" s="308" t="inlineStr">
        <is>
          <t>2.1.101</t>
        </is>
      </c>
      <c r="B32" s="308" t="inlineStr">
        <is>
          <t>Estaciones base TETRA</t>
        </is>
      </c>
      <c r="C32" s="309" t="n">
        <v>65000000</v>
      </c>
      <c r="D32" s="310" t="n">
        <v>13553</v>
      </c>
      <c r="E32" s="308" t="inlineStr">
        <is>
          <t>—</t>
        </is>
      </c>
      <c r="F32" s="310" t="inlineStr"/>
      <c r="G32" s="311" t="inlineStr"/>
      <c r="H32" s="312" t="inlineStr">
        <is>
          <t>⬜ SIN REF</t>
        </is>
      </c>
      <c r="I32" s="313" t="inlineStr">
        <is>
          <t>Sin partida BPA directa → RFQ pendiente.</t>
        </is>
      </c>
      <c r="J32" s="314" t="inlineStr"/>
    </row>
    <row r="33">
      <c r="A33" s="308" t="inlineStr">
        <is>
          <t>2.1.102</t>
        </is>
      </c>
      <c r="B33" s="308" t="inlineStr">
        <is>
          <t>Antenas TETRA</t>
        </is>
      </c>
      <c r="C33" s="309" t="n">
        <v>12000000</v>
      </c>
      <c r="D33" s="310" t="n">
        <v>2502</v>
      </c>
      <c r="E33" s="308" t="inlineStr">
        <is>
          <t>—</t>
        </is>
      </c>
      <c r="F33" s="310" t="inlineStr"/>
      <c r="G33" s="311" t="inlineStr"/>
      <c r="H33" s="312" t="inlineStr">
        <is>
          <t>⬜ SIN REF</t>
        </is>
      </c>
      <c r="I33" s="313" t="inlineStr">
        <is>
          <t>Sin partida BPA directa → RFQ pendiente.</t>
        </is>
      </c>
      <c r="J33" s="314" t="inlineStr"/>
    </row>
    <row r="34">
      <c r="A34" s="308" t="inlineStr">
        <is>
          <t>2.1.103</t>
        </is>
      </c>
      <c r="B34" s="308" t="inlineStr">
        <is>
          <t>Radios embarcados (30 unidades)</t>
        </is>
      </c>
      <c r="C34" s="309" t="n">
        <v>35000000</v>
      </c>
      <c r="D34" s="310" t="n">
        <v>7298</v>
      </c>
      <c r="E34" s="308" t="inlineStr">
        <is>
          <t>—</t>
        </is>
      </c>
      <c r="F34" s="310" t="inlineStr"/>
      <c r="G34" s="311" t="inlineStr"/>
      <c r="H34" s="312" t="inlineStr">
        <is>
          <t>⬜ SIN REF</t>
        </is>
      </c>
      <c r="I34" s="313" t="inlineStr">
        <is>
          <t>Sin partida BPA directa → RFQ pendiente.</t>
        </is>
      </c>
      <c r="J34" s="314" t="inlineStr"/>
    </row>
    <row r="35">
      <c r="A35" s="308" t="inlineStr">
        <is>
          <t>2.1.104</t>
        </is>
      </c>
      <c r="B35" s="308" t="inlineStr">
        <is>
          <t>Radios portátiles</t>
        </is>
      </c>
      <c r="C35" s="309" t="n">
        <v>6000000</v>
      </c>
      <c r="D35" s="310" t="n">
        <v>1251</v>
      </c>
      <c r="E35" s="308" t="inlineStr">
        <is>
          <t>—</t>
        </is>
      </c>
      <c r="F35" s="310" t="inlineStr"/>
      <c r="G35" s="311" t="inlineStr"/>
      <c r="H35" s="312" t="inlineStr">
        <is>
          <t>⬜ SIN REF</t>
        </is>
      </c>
      <c r="I35" s="313" t="inlineStr">
        <is>
          <t>Sin partida BPA directa → RFQ pendiente.</t>
        </is>
      </c>
      <c r="J35" s="314" t="inlineStr"/>
    </row>
    <row r="36">
      <c r="A36" s="308" t="inlineStr">
        <is>
          <t>2.1.105</t>
        </is>
      </c>
      <c r="B36" s="308" t="inlineStr">
        <is>
          <t>Sistema control centralizado</t>
        </is>
      </c>
      <c r="C36" s="309" t="n">
        <v>120000000</v>
      </c>
      <c r="D36" s="310" t="n">
        <v>25021</v>
      </c>
      <c r="E36" s="308" t="inlineStr">
        <is>
          <t>—</t>
        </is>
      </c>
      <c r="F36" s="310" t="inlineStr"/>
      <c r="G36" s="311" t="inlineStr"/>
      <c r="H36" s="312" t="inlineStr">
        <is>
          <t>⬜ SIN REF</t>
        </is>
      </c>
      <c r="I36" s="313" t="inlineStr">
        <is>
          <t>Sin partida BPA directa → RFQ pendiente.</t>
        </is>
      </c>
      <c r="J36" s="314" t="inlineStr"/>
    </row>
    <row r="37">
      <c r="A37" s="308" t="inlineStr">
        <is>
          <t>2.1.106</t>
        </is>
      </c>
      <c r="B37" s="308" t="inlineStr">
        <is>
          <t>Casetas técnicas</t>
        </is>
      </c>
      <c r="C37" s="309" t="n">
        <v>65000000</v>
      </c>
      <c r="D37" s="310" t="n">
        <v>13553</v>
      </c>
      <c r="E37" s="308" t="inlineStr">
        <is>
          <t>—</t>
        </is>
      </c>
      <c r="F37" s="310" t="inlineStr"/>
      <c r="G37" s="311" t="inlineStr"/>
      <c r="H37" s="312" t="inlineStr">
        <is>
          <t>⬜ SIN REF</t>
        </is>
      </c>
      <c r="I37" s="313" t="inlineStr">
        <is>
          <t>Analogía ADIF caseta TMI010 €7.181 ($34,4M); caseta TETRA difiere → RFQ.</t>
        </is>
      </c>
      <c r="J37" s="314" t="inlineStr"/>
    </row>
    <row r="38">
      <c r="A38" s="308" t="inlineStr">
        <is>
          <t>2.1.107</t>
        </is>
      </c>
      <c r="B38" s="308" t="inlineStr">
        <is>
          <t>Cimentaciones</t>
        </is>
      </c>
      <c r="C38" s="309" t="n">
        <v>25000000</v>
      </c>
      <c r="D38" s="310" t="n">
        <v>5213</v>
      </c>
      <c r="E38" s="308" t="inlineStr">
        <is>
          <t>—</t>
        </is>
      </c>
      <c r="F38" s="310" t="inlineStr"/>
      <c r="G38" s="311" t="inlineStr"/>
      <c r="H38" s="312" t="inlineStr">
        <is>
          <t>⬜ SIN REF</t>
        </is>
      </c>
      <c r="I38" s="313" t="inlineStr">
        <is>
          <t>Sin partida BPA directa → RFQ pendiente.</t>
        </is>
      </c>
      <c r="J38" s="314" t="inlineStr"/>
    </row>
    <row r="39">
      <c r="A39" s="308" t="inlineStr">
        <is>
          <t>2.1.108</t>
        </is>
      </c>
      <c r="B39" s="308" t="inlineStr">
        <is>
          <t>Cerramiento perimetral</t>
        </is>
      </c>
      <c r="C39" s="309" t="n">
        <v>30000000</v>
      </c>
      <c r="D39" s="310" t="n">
        <v>6255</v>
      </c>
      <c r="E39" s="308" t="inlineStr">
        <is>
          <t>—</t>
        </is>
      </c>
      <c r="F39" s="310" t="inlineStr"/>
      <c r="G39" s="311" t="inlineStr"/>
      <c r="H39" s="312" t="inlineStr">
        <is>
          <t>⬜ SIN REF</t>
        </is>
      </c>
      <c r="I39" s="313" t="inlineStr">
        <is>
          <t>Sin partida BPA directa → RFQ pendiente.</t>
        </is>
      </c>
      <c r="J39" s="314" t="inlineStr"/>
    </row>
    <row r="40">
      <c r="A40" s="308" t="inlineStr">
        <is>
          <t>2.1.109</t>
        </is>
      </c>
      <c r="B40" s="308" t="inlineStr">
        <is>
          <t>Vías de acceso</t>
        </is>
      </c>
      <c r="C40" s="309" t="n">
        <v>25000000</v>
      </c>
      <c r="D40" s="310" t="n">
        <v>5213</v>
      </c>
      <c r="E40" s="308" t="inlineStr">
        <is>
          <t>—</t>
        </is>
      </c>
      <c r="F40" s="310" t="inlineStr"/>
      <c r="G40" s="311" t="inlineStr"/>
      <c r="H40" s="312" t="inlineStr">
        <is>
          <t>⬜ SIN REF</t>
        </is>
      </c>
      <c r="I40" s="313" t="inlineStr">
        <is>
          <t>Sin partida BPA directa → RFQ pendiente.</t>
        </is>
      </c>
      <c r="J40" s="314" t="inlineStr"/>
    </row>
    <row r="41">
      <c r="A41" s="308" t="inlineStr">
        <is>
          <t>2.1.110</t>
        </is>
      </c>
      <c r="B41" s="308" t="inlineStr">
        <is>
          <t>Sistemas de seguridad</t>
        </is>
      </c>
      <c r="C41" s="309" t="n">
        <v>20000000</v>
      </c>
      <c r="D41" s="310" t="n">
        <v>4170</v>
      </c>
      <c r="E41" s="308" t="inlineStr">
        <is>
          <t>—</t>
        </is>
      </c>
      <c r="F41" s="310" t="inlineStr"/>
      <c r="G41" s="311" t="inlineStr"/>
      <c r="H41" s="312" t="inlineStr">
        <is>
          <t>⬜ SIN REF</t>
        </is>
      </c>
      <c r="I41" s="313" t="inlineStr">
        <is>
          <t>Sin partida BPA directa → RFQ pendiente.</t>
        </is>
      </c>
      <c r="J41" s="314" t="inlineStr"/>
    </row>
    <row r="42">
      <c r="A42" s="308" t="inlineStr">
        <is>
          <t>2.1.111</t>
        </is>
      </c>
      <c r="B42" s="308" t="inlineStr">
        <is>
          <t>Montaje e instalación</t>
        </is>
      </c>
      <c r="C42" s="309" t="n">
        <v>15000000</v>
      </c>
      <c r="D42" s="310" t="n">
        <v>3128</v>
      </c>
      <c r="E42" s="308" t="inlineStr">
        <is>
          <t>—</t>
        </is>
      </c>
      <c r="F42" s="310" t="inlineStr"/>
      <c r="G42" s="311" t="inlineStr"/>
      <c r="H42" s="312" t="inlineStr">
        <is>
          <t>⬜ SIN REF</t>
        </is>
      </c>
      <c r="I42" s="313" t="inlineStr">
        <is>
          <t>Sin partida BPA directa → RFQ pendiente.</t>
        </is>
      </c>
      <c r="J42" s="314" t="inlineStr"/>
    </row>
    <row r="43">
      <c r="A43" s="308" t="inlineStr">
        <is>
          <t>2.1.112</t>
        </is>
      </c>
      <c r="B43" s="308" t="inlineStr">
        <is>
          <t>Configuración red</t>
        </is>
      </c>
      <c r="C43" s="309" t="n">
        <v>200000000</v>
      </c>
      <c r="D43" s="310" t="n">
        <v>41701</v>
      </c>
      <c r="E43" s="308" t="inlineStr">
        <is>
          <t>—</t>
        </is>
      </c>
      <c r="F43" s="310" t="inlineStr"/>
      <c r="G43" s="311" t="inlineStr"/>
      <c r="H43" s="312" t="inlineStr">
        <is>
          <t>⬜ SIN REF</t>
        </is>
      </c>
      <c r="I43" s="313" t="inlineStr">
        <is>
          <t>Sin partida BPA directa → RFQ pendiente.</t>
        </is>
      </c>
      <c r="J43" s="314" t="inlineStr"/>
    </row>
    <row r="44">
      <c r="A44" s="308" t="inlineStr">
        <is>
          <t>2.1.113</t>
        </is>
      </c>
      <c r="B44" s="308" t="inlineStr">
        <is>
          <t>Pruebas cobertura</t>
        </is>
      </c>
      <c r="C44" s="309" t="n">
        <v>150000000</v>
      </c>
      <c r="D44" s="310" t="n">
        <v>31276</v>
      </c>
      <c r="E44" s="308" t="inlineStr">
        <is>
          <t>—</t>
        </is>
      </c>
      <c r="F44" s="310" t="inlineStr"/>
      <c r="G44" s="311" t="inlineStr"/>
      <c r="H44" s="312" t="inlineStr">
        <is>
          <t>⬜ SIN REF</t>
        </is>
      </c>
      <c r="I44" s="313" t="inlineStr">
        <is>
          <t>Sin partida BPA directa → RFQ pendiente.</t>
        </is>
      </c>
      <c r="J44" s="314" t="inlineStr"/>
    </row>
    <row r="45">
      <c r="A45" s="308" t="inlineStr">
        <is>
          <t>2.1.114</t>
        </is>
      </c>
      <c r="B45" s="308" t="inlineStr">
        <is>
          <t>Capacitación</t>
        </is>
      </c>
      <c r="C45" s="309" t="n">
        <v>100000000</v>
      </c>
      <c r="D45" s="310" t="n">
        <v>20851</v>
      </c>
      <c r="E45" s="308" t="inlineStr">
        <is>
          <t>—</t>
        </is>
      </c>
      <c r="F45" s="310" t="inlineStr"/>
      <c r="G45" s="311" t="inlineStr"/>
      <c r="H45" s="312" t="inlineStr">
        <is>
          <t>⬜ SIN REF</t>
        </is>
      </c>
      <c r="I45" s="313" t="inlineStr">
        <is>
          <t>Sin partida BPA directa → RFQ pendiente.</t>
        </is>
      </c>
      <c r="J45" s="314" t="inlineStr"/>
    </row>
    <row r="46">
      <c r="A46" s="308" t="inlineStr">
        <is>
          <t>2.1.115</t>
        </is>
      </c>
      <c r="B46" s="308" t="inlineStr">
        <is>
          <t>Repuestos (10%)</t>
        </is>
      </c>
      <c r="C46" s="309" t="n">
        <v>1774000000</v>
      </c>
      <c r="D46" s="310" t="n">
        <v>369892</v>
      </c>
      <c r="E46" s="308" t="inlineStr">
        <is>
          <t>—</t>
        </is>
      </c>
      <c r="F46" s="310" t="inlineStr"/>
      <c r="G46" s="311" t="inlineStr"/>
      <c r="H46" s="312" t="inlineStr">
        <is>
          <t>⬜ SIN REF</t>
        </is>
      </c>
      <c r="I46" s="313" t="inlineStr">
        <is>
          <t>Sin partida BPA directa → RFQ pendiente.</t>
        </is>
      </c>
      <c r="J46" s="314" t="inlineStr"/>
    </row>
    <row r="47">
      <c r="A47" s="308" t="inlineStr">
        <is>
          <t>2.1.116</t>
        </is>
      </c>
      <c r="B47" s="308" t="inlineStr">
        <is>
          <t xml:space="preserve">Bancos baterías UPS 24h sitios remotos TETRA (BCD §10.5 — química a definir vía </t>
        </is>
      </c>
      <c r="C47" s="309" t="n">
        <v>50000000</v>
      </c>
      <c r="D47" s="310" t="n">
        <v>10425</v>
      </c>
      <c r="E47" s="308" t="inlineStr">
        <is>
          <t>—</t>
        </is>
      </c>
      <c r="F47" s="310" t="inlineStr"/>
      <c r="G47" s="311" t="inlineStr"/>
      <c r="H47" s="312" t="inlineStr">
        <is>
          <t>⬜ SIN REF</t>
        </is>
      </c>
      <c r="I47" s="313" t="inlineStr">
        <is>
          <t>ADIF SAI máx 6h (COA220 €32.077); autonomía 24h TETRA fuera de BPA → RFQ.</t>
        </is>
      </c>
      <c r="J47" s="314" t="inlineStr"/>
    </row>
    <row r="48">
      <c r="A48" s="308" t="inlineStr">
        <is>
          <t>2.2.100</t>
        </is>
      </c>
      <c r="B48" s="308" t="inlineStr">
        <is>
          <t>Estaciones base — red móvil broadband ferroviaria (complemento TETRA — tecnologí</t>
        </is>
      </c>
      <c r="C48" s="309" t="n">
        <v>45000000</v>
      </c>
      <c r="D48" s="310" t="n">
        <v>9383</v>
      </c>
      <c r="E48" s="308" t="inlineStr">
        <is>
          <t>—</t>
        </is>
      </c>
      <c r="F48" s="310" t="inlineStr"/>
      <c r="G48" s="311" t="inlineStr"/>
      <c r="H48" s="312" t="inlineStr">
        <is>
          <t>⬜ SIN REF</t>
        </is>
      </c>
      <c r="I48" s="313" t="inlineStr">
        <is>
          <t>Sin partida BPA directa → RFQ pendiente.</t>
        </is>
      </c>
      <c r="J48" s="314" t="inlineStr"/>
    </row>
    <row r="49">
      <c r="A49" s="308" t="inlineStr">
        <is>
          <t>2.2.101</t>
        </is>
      </c>
      <c r="B49" s="308" t="inlineStr">
        <is>
          <t>Antenas — red móvil broadband ferroviaria (complemento TETRA — tecnología por RF</t>
        </is>
      </c>
      <c r="C49" s="309" t="n">
        <v>8000000</v>
      </c>
      <c r="D49" s="310" t="n">
        <v>1668</v>
      </c>
      <c r="E49" s="308" t="inlineStr">
        <is>
          <t>—</t>
        </is>
      </c>
      <c r="F49" s="310" t="inlineStr"/>
      <c r="G49" s="311" t="inlineStr"/>
      <c r="H49" s="312" t="inlineStr">
        <is>
          <t>⬜ SIN REF</t>
        </is>
      </c>
      <c r="I49" s="313" t="inlineStr">
        <is>
          <t>Sin partida BPA directa → RFQ pendiente.</t>
        </is>
      </c>
      <c r="J49" s="314" t="inlineStr"/>
    </row>
    <row r="50">
      <c r="A50" s="308" t="inlineStr">
        <is>
          <t>2.2.102</t>
        </is>
      </c>
      <c r="B50" s="308" t="inlineStr">
        <is>
          <t>Radios embarcados — red móvil broadband ferroviaria (complemento TETRA — tecnolo</t>
        </is>
      </c>
      <c r="C50" s="309" t="n">
        <v>25000000</v>
      </c>
      <c r="D50" s="310" t="n">
        <v>5213</v>
      </c>
      <c r="E50" s="308" t="inlineStr">
        <is>
          <t>—</t>
        </is>
      </c>
      <c r="F50" s="310" t="inlineStr"/>
      <c r="G50" s="311" t="inlineStr"/>
      <c r="H50" s="312" t="inlineStr">
        <is>
          <t>⬜ SIN REF</t>
        </is>
      </c>
      <c r="I50" s="313" t="inlineStr">
        <is>
          <t>Sin partida BPA directa → RFQ pendiente.</t>
        </is>
      </c>
      <c r="J50" s="314" t="inlineStr"/>
    </row>
    <row r="51">
      <c r="A51" s="308" t="inlineStr">
        <is>
          <t>2.2.103</t>
        </is>
      </c>
      <c r="B51" s="308" t="inlineStr">
        <is>
          <t>Sistema control — red móvil broadband ferroviaria (complemento TETRA)</t>
        </is>
      </c>
      <c r="C51" s="309" t="n">
        <v>80000000</v>
      </c>
      <c r="D51" s="310" t="n">
        <v>16681</v>
      </c>
      <c r="E51" s="308" t="inlineStr">
        <is>
          <t>—</t>
        </is>
      </c>
      <c r="F51" s="310" t="inlineStr"/>
      <c r="G51" s="311" t="inlineStr"/>
      <c r="H51" s="312" t="inlineStr">
        <is>
          <t>⬜ SIN REF</t>
        </is>
      </c>
      <c r="I51" s="313" t="inlineStr">
        <is>
          <t>Sin partida BPA directa → RFQ pendiente.</t>
        </is>
      </c>
      <c r="J51" s="314" t="inlineStr"/>
    </row>
    <row r="52">
      <c r="A52" s="308" t="inlineStr">
        <is>
          <t>2.2.104</t>
        </is>
      </c>
      <c r="B52" s="308" t="inlineStr">
        <is>
          <t>Interfaces TETRA — red móvil broadband ferroviaria</t>
        </is>
      </c>
      <c r="C52" s="309" t="n">
        <v>5000000</v>
      </c>
      <c r="D52" s="310" t="n">
        <v>1043</v>
      </c>
      <c r="E52" s="308" t="inlineStr">
        <is>
          <t>—</t>
        </is>
      </c>
      <c r="F52" s="310" t="inlineStr"/>
      <c r="G52" s="311" t="inlineStr"/>
      <c r="H52" s="312" t="inlineStr">
        <is>
          <t>⬜ SIN REF</t>
        </is>
      </c>
      <c r="I52" s="313" t="inlineStr">
        <is>
          <t>Sin partida BPA directa → RFQ pendiente.</t>
        </is>
      </c>
      <c r="J52" s="314" t="inlineStr"/>
    </row>
    <row r="53">
      <c r="A53" s="308" t="inlineStr">
        <is>
          <t>2.2.105</t>
        </is>
      </c>
      <c r="B53" s="308" t="inlineStr">
        <is>
          <t>Sistema redundancia</t>
        </is>
      </c>
      <c r="C53" s="309" t="n">
        <v>150000000</v>
      </c>
      <c r="D53" s="310" t="n">
        <v>31276</v>
      </c>
      <c r="E53" s="308" t="inlineStr">
        <is>
          <t>—</t>
        </is>
      </c>
      <c r="F53" s="310" t="inlineStr"/>
      <c r="G53" s="311" t="inlineStr"/>
      <c r="H53" s="312" t="inlineStr">
        <is>
          <t>⬜ SIN REF</t>
        </is>
      </c>
      <c r="I53" s="313" t="inlineStr">
        <is>
          <t>Sin partida BPA directa → RFQ pendiente.</t>
        </is>
      </c>
      <c r="J53" s="314" t="inlineStr"/>
    </row>
    <row r="54">
      <c r="A54" s="308" t="inlineStr">
        <is>
          <t>2.2.106</t>
        </is>
      </c>
      <c r="B54" s="308" t="inlineStr">
        <is>
          <t>Configuración dual</t>
        </is>
      </c>
      <c r="C54" s="309" t="n">
        <v>100000000</v>
      </c>
      <c r="D54" s="310" t="n">
        <v>20851</v>
      </c>
      <c r="E54" s="308" t="inlineStr">
        <is>
          <t>—</t>
        </is>
      </c>
      <c r="F54" s="310" t="inlineStr"/>
      <c r="G54" s="311" t="inlineStr"/>
      <c r="H54" s="312" t="inlineStr">
        <is>
          <t>⬜ SIN REF</t>
        </is>
      </c>
      <c r="I54" s="313" t="inlineStr">
        <is>
          <t>Sin partida BPA directa → RFQ pendiente.</t>
        </is>
      </c>
      <c r="J54" s="314" t="inlineStr"/>
    </row>
    <row r="55">
      <c r="A55" s="308" t="inlineStr">
        <is>
          <t>2.2.107</t>
        </is>
      </c>
      <c r="B55" s="308" t="inlineStr">
        <is>
          <t>Pruebas integración</t>
        </is>
      </c>
      <c r="C55" s="309" t="n">
        <v>80000000</v>
      </c>
      <c r="D55" s="310" t="n">
        <v>16681</v>
      </c>
      <c r="E55" s="308" t="inlineStr">
        <is>
          <t>—</t>
        </is>
      </c>
      <c r="F55" s="310" t="inlineStr"/>
      <c r="G55" s="311" t="inlineStr"/>
      <c r="H55" s="312" t="inlineStr">
        <is>
          <t>⬜ SIN REF</t>
        </is>
      </c>
      <c r="I55" s="313" t="inlineStr">
        <is>
          <t>Sin partida BPA directa → RFQ pendiente.</t>
        </is>
      </c>
      <c r="J55" s="314" t="inlineStr"/>
    </row>
    <row r="56">
      <c r="A56" s="308" t="inlineStr">
        <is>
          <t>2.2.108</t>
        </is>
      </c>
      <c r="B56" s="308" t="inlineStr">
        <is>
          <t>Repuestos (10%)</t>
        </is>
      </c>
      <c r="C56" s="309" t="n">
        <v>312000000</v>
      </c>
      <c r="D56" s="310" t="n">
        <v>65054</v>
      </c>
      <c r="E56" s="308" t="inlineStr">
        <is>
          <t>—</t>
        </is>
      </c>
      <c r="F56" s="310" t="inlineStr"/>
      <c r="G56" s="311" t="inlineStr"/>
      <c r="H56" s="312" t="inlineStr">
        <is>
          <t>⬜ SIN REF</t>
        </is>
      </c>
      <c r="I56" s="313" t="inlineStr">
        <is>
          <t>Sin partida BPA directa → RFQ pendiente.</t>
        </is>
      </c>
      <c r="J56" s="314" t="inlineStr"/>
    </row>
    <row r="57">
      <c r="A57" s="308" t="inlineStr">
        <is>
          <t>2.3.100</t>
        </is>
      </c>
      <c r="B57" s="308" t="inlineStr">
        <is>
          <t>Cable fibra óptica monomodo 48 hilos G.652.D OSP (BCD §6.1.1 — solución homogéne</t>
        </is>
      </c>
      <c r="C57" s="309" t="n">
        <v>9811013</v>
      </c>
      <c r="D57" s="310" t="n">
        <v>2046</v>
      </c>
      <c r="E57" s="308" t="inlineStr">
        <is>
          <t>TCJ010bccca</t>
        </is>
      </c>
      <c r="F57" s="310" t="n">
        <v>5480</v>
      </c>
      <c r="G57" s="311" t="inlineStr">
        <is>
          <t>+280%</t>
        </is>
      </c>
      <c r="H57" s="318" t="inlineStr">
        <is>
          <t>🔴 fuera de rango</t>
        </is>
      </c>
      <c r="I57" s="313" t="inlineStr">
        <is>
          <t>BPA €5,48/m incl. tendido (=€5.480/km). Se compara la SUMA supply(2.3.100)+MO(2.3.101) vs BPA.</t>
        </is>
      </c>
      <c r="J57" s="316" t="inlineStr">
        <is>
          <t>https://bpa.adif.es/bp1/#/concept/158651112</t>
        </is>
      </c>
    </row>
    <row r="58">
      <c r="A58" s="308" t="inlineStr">
        <is>
          <t>2.3.101</t>
        </is>
      </c>
      <c r="B58" s="308" t="inlineStr">
        <is>
          <t>Mano de obra instalación (Tendido 526km + 10% Gasa Técnica)</t>
        </is>
      </c>
      <c r="C58" s="309" t="n">
        <v>90188987</v>
      </c>
      <c r="D58" s="310" t="n">
        <v>18805</v>
      </c>
      <c r="E58" s="308" t="inlineStr">
        <is>
          <t>—</t>
        </is>
      </c>
      <c r="F58" s="310" t="inlineStr"/>
      <c r="G58" s="311" t="inlineStr"/>
      <c r="H58" s="312" t="inlineStr">
        <is>
          <t>⬜ SIN REF</t>
        </is>
      </c>
      <c r="I58" s="313" t="inlineStr">
        <is>
          <t>Sin partida BPA directa → RFQ pendiente.</t>
        </is>
      </c>
      <c r="J58" s="314" t="inlineStr"/>
    </row>
    <row r="59">
      <c r="A59" s="308" t="inlineStr">
        <is>
          <t>2.3.102</t>
        </is>
      </c>
      <c r="B59" s="308" t="inlineStr">
        <is>
          <t>Tritubo 40mm</t>
        </is>
      </c>
      <c r="C59" s="309" t="n">
        <v>15845</v>
      </c>
      <c r="D59" s="310" t="n">
        <v>3</v>
      </c>
      <c r="E59" s="308" t="inlineStr">
        <is>
          <t>—</t>
        </is>
      </c>
      <c r="F59" s="310" t="inlineStr"/>
      <c r="G59" s="311" t="inlineStr"/>
      <c r="H59" s="312" t="inlineStr">
        <is>
          <t>⬜ SIN REF</t>
        </is>
      </c>
      <c r="I59" s="313" t="inlineStr">
        <is>
          <t>Sin partida BPA directa → RFQ pendiente.</t>
        </is>
      </c>
      <c r="J59" s="314" t="inlineStr"/>
    </row>
    <row r="60">
      <c r="A60" s="308" t="inlineStr">
        <is>
          <t>2.3.103</t>
        </is>
      </c>
      <c r="B60" s="308" t="inlineStr">
        <is>
          <t>Cajas empalme 80x80</t>
        </is>
      </c>
      <c r="C60" s="309" t="n">
        <v>1350000</v>
      </c>
      <c r="D60" s="310" t="n">
        <v>281</v>
      </c>
      <c r="E60" s="308" t="inlineStr">
        <is>
          <t>—</t>
        </is>
      </c>
      <c r="F60" s="310" t="inlineStr"/>
      <c r="G60" s="311" t="inlineStr"/>
      <c r="H60" s="312" t="inlineStr">
        <is>
          <t>⬜ SIN REF</t>
        </is>
      </c>
      <c r="I60" s="313" t="inlineStr">
        <is>
          <t>Cajas empalme FO; sin partida BPA directa → RFQ.</t>
        </is>
      </c>
      <c r="J60" s="314" t="inlineStr"/>
    </row>
    <row r="61">
      <c r="A61" s="308" t="inlineStr">
        <is>
          <t>2.3.104</t>
        </is>
      </c>
      <c r="B61" s="308" t="inlineStr">
        <is>
          <t>Uniones rápidas</t>
        </is>
      </c>
      <c r="C61" s="309" t="n">
        <v>35000</v>
      </c>
      <c r="D61" s="310" t="n">
        <v>7</v>
      </c>
      <c r="E61" s="308" t="inlineStr">
        <is>
          <t>—</t>
        </is>
      </c>
      <c r="F61" s="310" t="inlineStr"/>
      <c r="G61" s="311" t="inlineStr"/>
      <c r="H61" s="312" t="inlineStr">
        <is>
          <t>⬜ SIN REF</t>
        </is>
      </c>
      <c r="I61" s="313" t="inlineStr">
        <is>
          <t>Sin partida BPA directa → RFQ pendiente.</t>
        </is>
      </c>
      <c r="J61" s="314" t="inlineStr"/>
    </row>
    <row r="62">
      <c r="A62" s="308" t="inlineStr">
        <is>
          <t>2.3.105</t>
        </is>
      </c>
      <c r="B62" s="308" t="inlineStr">
        <is>
          <t>Fusionadoras</t>
        </is>
      </c>
      <c r="C62" s="309" t="n">
        <v>50000000</v>
      </c>
      <c r="D62" s="310" t="n">
        <v>10425</v>
      </c>
      <c r="E62" s="308" t="inlineStr">
        <is>
          <t>—</t>
        </is>
      </c>
      <c r="F62" s="310" t="inlineStr"/>
      <c r="G62" s="311" t="inlineStr"/>
      <c r="H62" s="312" t="inlineStr">
        <is>
          <t>⬜ SIN REF</t>
        </is>
      </c>
      <c r="I62" s="313" t="inlineStr">
        <is>
          <t>Sin partida BPA directa → RFQ pendiente.</t>
        </is>
      </c>
      <c r="J62" s="314" t="inlineStr"/>
    </row>
    <row r="63">
      <c r="A63" s="308" t="inlineStr">
        <is>
          <t>2.3.106</t>
        </is>
      </c>
      <c r="B63" s="308" t="inlineStr">
        <is>
          <t>OTDR triwavelength (1310/1550/1625 nm)</t>
        </is>
      </c>
      <c r="C63" s="309" t="n">
        <v>90000000</v>
      </c>
      <c r="D63" s="310" t="n">
        <v>18766</v>
      </c>
      <c r="E63" s="308" t="inlineStr">
        <is>
          <t>—</t>
        </is>
      </c>
      <c r="F63" s="310" t="inlineStr"/>
      <c r="G63" s="311" t="inlineStr"/>
      <c r="H63" s="312" t="inlineStr">
        <is>
          <t>⬜ SIN REF</t>
        </is>
      </c>
      <c r="I63" s="313" t="inlineStr">
        <is>
          <t>Sin partida BPA directa → RFQ pendiente.</t>
        </is>
      </c>
      <c r="J63" s="314" t="inlineStr"/>
    </row>
    <row r="64">
      <c r="A64" s="308" t="inlineStr">
        <is>
          <t>2.3.107</t>
        </is>
      </c>
      <c r="B64" s="308" t="inlineStr">
        <is>
          <t>Muflas fusionado</t>
        </is>
      </c>
      <c r="C64" s="309" t="n">
        <v>25000</v>
      </c>
      <c r="D64" s="310" t="n">
        <v>5</v>
      </c>
      <c r="E64" s="308" t="inlineStr">
        <is>
          <t>—</t>
        </is>
      </c>
      <c r="F64" s="310" t="inlineStr"/>
      <c r="G64" s="311" t="inlineStr"/>
      <c r="H64" s="312" t="inlineStr">
        <is>
          <t>⬜ SIN REF</t>
        </is>
      </c>
      <c r="I64" s="313" t="inlineStr">
        <is>
          <t>Sin partida BPA directa → RFQ pendiente.</t>
        </is>
      </c>
      <c r="J64" s="314" t="inlineStr"/>
    </row>
    <row r="65">
      <c r="A65" s="308" t="inlineStr">
        <is>
          <t>2.3.108</t>
        </is>
      </c>
      <c r="B65" s="308" t="inlineStr">
        <is>
          <t>Insumos fusionado</t>
        </is>
      </c>
      <c r="C65" s="309" t="n">
        <v>15000</v>
      </c>
      <c r="D65" s="310" t="n">
        <v>3</v>
      </c>
      <c r="E65" s="308" t="inlineStr">
        <is>
          <t>—</t>
        </is>
      </c>
      <c r="F65" s="310" t="inlineStr"/>
      <c r="G65" s="311" t="inlineStr"/>
      <c r="H65" s="312" t="inlineStr">
        <is>
          <t>⬜ SIN REF</t>
        </is>
      </c>
      <c r="I65" s="313" t="inlineStr">
        <is>
          <t>Sin partida BPA directa → RFQ pendiente.</t>
        </is>
      </c>
      <c r="J65" s="314" t="inlineStr"/>
    </row>
    <row r="66">
      <c r="A66" s="308" t="inlineStr">
        <is>
          <t>2.3.109</t>
        </is>
      </c>
      <c r="B66" s="308" t="inlineStr">
        <is>
          <t>Repuestos Estratégicos (Stock 3% Corredor)</t>
        </is>
      </c>
      <c r="C66" s="309" t="n">
        <v>8000000</v>
      </c>
      <c r="D66" s="310" t="n">
        <v>1668</v>
      </c>
      <c r="E66" s="308" t="inlineStr">
        <is>
          <t>—</t>
        </is>
      </c>
      <c r="F66" s="310" t="inlineStr"/>
      <c r="G66" s="311" t="inlineStr"/>
      <c r="H66" s="312" t="inlineStr">
        <is>
          <t>⬜ SIN REF</t>
        </is>
      </c>
      <c r="I66" s="313" t="inlineStr">
        <is>
          <t>Sin partida BPA directa → RFQ pendiente.</t>
        </is>
      </c>
      <c r="J66" s="314" t="inlineStr"/>
    </row>
    <row r="67">
      <c r="A67" s="308" t="inlineStr">
        <is>
          <t>2.4.100</t>
        </is>
      </c>
      <c r="B67" s="308" t="inlineStr">
        <is>
          <t>Habilitación Satelital Transitoria (Punto 42) — 5 terminales LEO + 12 meses susc</t>
        </is>
      </c>
      <c r="C67" s="309" t="n">
        <v>1200000000</v>
      </c>
      <c r="D67" s="310" t="n">
        <v>250209</v>
      </c>
      <c r="E67" s="308" t="inlineStr">
        <is>
          <t>—</t>
        </is>
      </c>
      <c r="F67" s="310" t="inlineStr"/>
      <c r="G67" s="311" t="inlineStr"/>
      <c r="H67" s="312" t="inlineStr">
        <is>
          <t>⬜ SIN REF</t>
        </is>
      </c>
      <c r="I67" s="313" t="inlineStr">
        <is>
          <t>Sin partida BPA directa → RFQ pendiente.</t>
        </is>
      </c>
      <c r="J67" s="314" t="inlineStr"/>
    </row>
    <row r="68">
      <c r="A68" s="308" t="inlineStr">
        <is>
          <t>3.1.100</t>
        </is>
      </c>
      <c r="B68" s="308" t="inlineStr">
        <is>
          <t>Cámaras PAN PTZ 4MP (73 unidades - cobertura completa)</t>
        </is>
      </c>
      <c r="C68" s="309" t="n">
        <v>30000000</v>
      </c>
      <c r="D68" s="310" t="n">
        <v>6255</v>
      </c>
      <c r="E68" s="308" t="inlineStr">
        <is>
          <t>—</t>
        </is>
      </c>
      <c r="F68" s="310" t="inlineStr"/>
      <c r="G68" s="311" t="inlineStr"/>
      <c r="H68" s="312" t="inlineStr">
        <is>
          <t>⬜ SIN REF</t>
        </is>
      </c>
      <c r="I68" s="313" t="inlineStr">
        <is>
          <t>Sin partida BPA directa → RFQ pendiente.</t>
        </is>
      </c>
      <c r="J68" s="314" t="inlineStr"/>
    </row>
    <row r="69">
      <c r="A69" s="308" t="inlineStr">
        <is>
          <t>3.1.101</t>
        </is>
      </c>
      <c r="B69" s="308" t="inlineStr">
        <is>
          <t>Cámaras talleres (12 unidades)</t>
        </is>
      </c>
      <c r="C69" s="309" t="n">
        <v>6000000</v>
      </c>
      <c r="D69" s="310" t="n">
        <v>1251</v>
      </c>
      <c r="E69" s="308" t="inlineStr">
        <is>
          <t>—</t>
        </is>
      </c>
      <c r="F69" s="310" t="inlineStr"/>
      <c r="G69" s="311" t="inlineStr"/>
      <c r="H69" s="312" t="inlineStr">
        <is>
          <t>⬜ SIN REF</t>
        </is>
      </c>
      <c r="I69" s="313" t="inlineStr">
        <is>
          <t>Sin partida BPA directa → RFQ pendiente.</t>
        </is>
      </c>
      <c r="J69" s="314" t="inlineStr"/>
    </row>
    <row r="70">
      <c r="A70" s="308" t="inlineStr">
        <is>
          <t>3.1.102</t>
        </is>
      </c>
      <c r="B70" s="308" t="inlineStr">
        <is>
          <t>Cámaras CCO (8 unidades)</t>
        </is>
      </c>
      <c r="C70" s="309" t="n">
        <v>10000000</v>
      </c>
      <c r="D70" s="310" t="n">
        <v>2085</v>
      </c>
      <c r="E70" s="308" t="inlineStr">
        <is>
          <t>—</t>
        </is>
      </c>
      <c r="F70" s="310" t="inlineStr"/>
      <c r="G70" s="311" t="inlineStr"/>
      <c r="H70" s="312" t="inlineStr">
        <is>
          <t>⬜ SIN REF</t>
        </is>
      </c>
      <c r="I70" s="313" t="inlineStr">
        <is>
          <t>Sin partida BPA directa → RFQ pendiente.</t>
        </is>
      </c>
      <c r="J70" s="314" t="inlineStr"/>
    </row>
    <row r="71">
      <c r="A71" s="308" t="inlineStr">
        <is>
          <t>3.1.103</t>
        </is>
      </c>
      <c r="B71" s="308" t="inlineStr">
        <is>
          <t>Cámaras estaciones (5 unidades)</t>
        </is>
      </c>
      <c r="C71" s="309" t="n">
        <v>7000000</v>
      </c>
      <c r="D71" s="310" t="n">
        <v>1460</v>
      </c>
      <c r="E71" s="308" t="inlineStr">
        <is>
          <t>—</t>
        </is>
      </c>
      <c r="F71" s="310" t="inlineStr"/>
      <c r="G71" s="311" t="inlineStr"/>
      <c r="H71" s="312" t="inlineStr">
        <is>
          <t>⬜ SIN REF</t>
        </is>
      </c>
      <c r="I71" s="313" t="inlineStr">
        <is>
          <t>Sin partida BPA directa → RFQ pendiente.</t>
        </is>
      </c>
      <c r="J71" s="314" t="inlineStr"/>
    </row>
    <row r="72">
      <c r="A72" s="308" t="inlineStr">
        <is>
          <t>3.1.104</t>
        </is>
      </c>
      <c r="B72" s="308" t="inlineStr">
        <is>
          <t>Sistema grabación</t>
        </is>
      </c>
      <c r="C72" s="309" t="n">
        <v>150000000</v>
      </c>
      <c r="D72" s="310" t="n">
        <v>31276</v>
      </c>
      <c r="E72" s="308" t="inlineStr">
        <is>
          <t>—</t>
        </is>
      </c>
      <c r="F72" s="310" t="inlineStr"/>
      <c r="G72" s="311" t="inlineStr"/>
      <c r="H72" s="312" t="inlineStr">
        <is>
          <t>⬜ SIN REF</t>
        </is>
      </c>
      <c r="I72" s="313" t="inlineStr">
        <is>
          <t>Sin partida BPA directa → RFQ pendiente.</t>
        </is>
      </c>
      <c r="J72" s="314" t="inlineStr"/>
    </row>
    <row r="73">
      <c r="A73" s="308" t="inlineStr">
        <is>
          <t>3.1.105</t>
        </is>
      </c>
      <c r="B73" s="308" t="inlineStr">
        <is>
          <t>Servidores almacenamiento</t>
        </is>
      </c>
      <c r="C73" s="309" t="n">
        <v>80000000</v>
      </c>
      <c r="D73" s="310" t="n">
        <v>16681</v>
      </c>
      <c r="E73" s="308" t="inlineStr">
        <is>
          <t>—</t>
        </is>
      </c>
      <c r="F73" s="310" t="inlineStr"/>
      <c r="G73" s="311" t="inlineStr"/>
      <c r="H73" s="312" t="inlineStr">
        <is>
          <t>⬜ SIN REF</t>
        </is>
      </c>
      <c r="I73" s="313" t="inlineStr">
        <is>
          <t>Sin partida BPA directa → RFQ pendiente.</t>
        </is>
      </c>
      <c r="J73" s="314" t="inlineStr"/>
    </row>
    <row r="74">
      <c r="A74" s="308" t="inlineStr">
        <is>
          <t>3.1.106</t>
        </is>
      </c>
      <c r="B74" s="308" t="inlineStr">
        <is>
          <t>Software análisis</t>
        </is>
      </c>
      <c r="C74" s="309" t="n">
        <v>120000000</v>
      </c>
      <c r="D74" s="310" t="n">
        <v>25021</v>
      </c>
      <c r="E74" s="308" t="inlineStr">
        <is>
          <t>—</t>
        </is>
      </c>
      <c r="F74" s="310" t="inlineStr"/>
      <c r="G74" s="311" t="inlineStr"/>
      <c r="H74" s="312" t="inlineStr">
        <is>
          <t>⬜ SIN REF</t>
        </is>
      </c>
      <c r="I74" s="313" t="inlineStr">
        <is>
          <t>Sin partida BPA directa → RFQ pendiente.</t>
        </is>
      </c>
      <c r="J74" s="314" t="inlineStr"/>
    </row>
    <row r="75">
      <c r="A75" s="308" t="inlineStr">
        <is>
          <t>3.1.107</t>
        </is>
      </c>
      <c r="B75" s="308" t="inlineStr">
        <is>
          <t>Monitores CCO</t>
        </is>
      </c>
      <c r="C75" s="309" t="n">
        <v>15000000</v>
      </c>
      <c r="D75" s="310" t="n">
        <v>3128</v>
      </c>
      <c r="E75" s="308" t="inlineStr">
        <is>
          <t>—</t>
        </is>
      </c>
      <c r="F75" s="310" t="inlineStr"/>
      <c r="G75" s="311" t="inlineStr"/>
      <c r="H75" s="312" t="inlineStr">
        <is>
          <t>⬜ SIN REF</t>
        </is>
      </c>
      <c r="I75" s="313" t="inlineStr">
        <is>
          <t>Sin partida BPA directa → RFQ pendiente.</t>
        </is>
      </c>
      <c r="J75" s="314" t="inlineStr"/>
    </row>
    <row r="76">
      <c r="A76" s="308" t="inlineStr">
        <is>
          <t>3.1.108</t>
        </is>
      </c>
      <c r="B76" s="308" t="inlineStr">
        <is>
          <t>Instalación y configuración</t>
        </is>
      </c>
      <c r="C76" s="309" t="n">
        <v>2000000</v>
      </c>
      <c r="D76" s="310" t="n">
        <v>417</v>
      </c>
      <c r="E76" s="308" t="inlineStr">
        <is>
          <t>—</t>
        </is>
      </c>
      <c r="F76" s="310" t="inlineStr"/>
      <c r="G76" s="311" t="inlineStr"/>
      <c r="H76" s="312" t="inlineStr">
        <is>
          <t>⬜ SIN REF</t>
        </is>
      </c>
      <c r="I76" s="313" t="inlineStr">
        <is>
          <t>Sin partida BPA directa → RFQ pendiente.</t>
        </is>
      </c>
      <c r="J76" s="314" t="inlineStr"/>
    </row>
    <row r="77">
      <c r="A77" s="308" t="inlineStr">
        <is>
          <t>3.1.109</t>
        </is>
      </c>
      <c r="B77" s="308" t="inlineStr">
        <is>
          <t>Repuestos (10%)</t>
        </is>
      </c>
      <c r="C77" s="309" t="n">
        <v>307300000</v>
      </c>
      <c r="D77" s="310" t="n">
        <v>64074</v>
      </c>
      <c r="E77" s="308" t="inlineStr">
        <is>
          <t>—</t>
        </is>
      </c>
      <c r="F77" s="310" t="inlineStr"/>
      <c r="G77" s="311" t="inlineStr"/>
      <c r="H77" s="312" t="inlineStr">
        <is>
          <t>⬜ SIN REF</t>
        </is>
      </c>
      <c r="I77" s="313" t="inlineStr">
        <is>
          <t>Sin partida BPA directa → RFQ pendiente.</t>
        </is>
      </c>
      <c r="J77" s="314" t="inlineStr"/>
    </row>
    <row r="78">
      <c r="A78" s="308" t="inlineStr">
        <is>
          <t>3.2.100</t>
        </is>
      </c>
      <c r="B78" s="308" t="inlineStr">
        <is>
          <t>Lectores RFID control accesos (ISO 14443, IP65/IK10)</t>
        </is>
      </c>
      <c r="C78" s="309" t="n">
        <v>3000000</v>
      </c>
      <c r="D78" s="310" t="n">
        <v>626</v>
      </c>
      <c r="E78" s="308" t="inlineStr">
        <is>
          <t>—</t>
        </is>
      </c>
      <c r="F78" s="310" t="inlineStr"/>
      <c r="G78" s="311" t="inlineStr"/>
      <c r="H78" s="312" t="inlineStr">
        <is>
          <t>⬜ SIN REF</t>
        </is>
      </c>
      <c r="I78" s="313" t="inlineStr">
        <is>
          <t>Sin partida BPA directa → RFQ pendiente.</t>
        </is>
      </c>
      <c r="J78" s="314" t="inlineStr"/>
    </row>
    <row r="79">
      <c r="A79" s="308" t="inlineStr">
        <is>
          <t>3.2.101</t>
        </is>
      </c>
      <c r="B79" s="308" t="inlineStr">
        <is>
          <t>Tarjetas RFID</t>
        </is>
      </c>
      <c r="C79" s="309" t="n">
        <v>25000</v>
      </c>
      <c r="D79" s="310" t="n">
        <v>5</v>
      </c>
      <c r="E79" s="308" t="inlineStr">
        <is>
          <t>—</t>
        </is>
      </c>
      <c r="F79" s="310" t="inlineStr"/>
      <c r="G79" s="311" t="inlineStr"/>
      <c r="H79" s="312" t="inlineStr">
        <is>
          <t>⬜ SIN REF</t>
        </is>
      </c>
      <c r="I79" s="313" t="inlineStr">
        <is>
          <t>Sin partida BPA directa → RFQ pendiente.</t>
        </is>
      </c>
      <c r="J79" s="314" t="inlineStr"/>
    </row>
    <row r="80">
      <c r="A80" s="308" t="inlineStr">
        <is>
          <t>3.2.102</t>
        </is>
      </c>
      <c r="B80" s="308" t="inlineStr">
        <is>
          <t>Sistema biométrico</t>
        </is>
      </c>
      <c r="C80" s="309" t="n">
        <v>50000000</v>
      </c>
      <c r="D80" s="310" t="n">
        <v>10425</v>
      </c>
      <c r="E80" s="308" t="inlineStr">
        <is>
          <t>—</t>
        </is>
      </c>
      <c r="F80" s="310" t="inlineStr"/>
      <c r="G80" s="311" t="inlineStr"/>
      <c r="H80" s="312" t="inlineStr">
        <is>
          <t>⬜ SIN REF</t>
        </is>
      </c>
      <c r="I80" s="313" t="inlineStr">
        <is>
          <t>Sin partida BPA directa → RFQ pendiente.</t>
        </is>
      </c>
      <c r="J80" s="314" t="inlineStr"/>
    </row>
    <row r="81">
      <c r="A81" s="308" t="inlineStr">
        <is>
          <t>3.2.103</t>
        </is>
      </c>
      <c r="B81" s="308" t="inlineStr">
        <is>
          <t>Software control accesos</t>
        </is>
      </c>
      <c r="C81" s="309" t="n">
        <v>80000000</v>
      </c>
      <c r="D81" s="310" t="n">
        <v>16681</v>
      </c>
      <c r="E81" s="308" t="inlineStr">
        <is>
          <t>—</t>
        </is>
      </c>
      <c r="F81" s="310" t="inlineStr"/>
      <c r="G81" s="311" t="inlineStr"/>
      <c r="H81" s="312" t="inlineStr">
        <is>
          <t>⬜ SIN REF</t>
        </is>
      </c>
      <c r="I81" s="313" t="inlineStr">
        <is>
          <t>Sin partida BPA directa → RFQ pendiente.</t>
        </is>
      </c>
      <c r="J81" s="314" t="inlineStr"/>
    </row>
    <row r="82">
      <c r="A82" s="308" t="inlineStr">
        <is>
          <t>3.2.104</t>
        </is>
      </c>
      <c r="B82" s="308" t="inlineStr">
        <is>
          <t>Cerraduras electrónicas</t>
        </is>
      </c>
      <c r="C82" s="309" t="n">
        <v>8000000</v>
      </c>
      <c r="D82" s="310" t="n">
        <v>1668</v>
      </c>
      <c r="E82" s="308" t="inlineStr">
        <is>
          <t>—</t>
        </is>
      </c>
      <c r="F82" s="310" t="inlineStr"/>
      <c r="G82" s="311" t="inlineStr"/>
      <c r="H82" s="312" t="inlineStr">
        <is>
          <t>⬜ SIN REF</t>
        </is>
      </c>
      <c r="I82" s="313" t="inlineStr">
        <is>
          <t>Sin partida BPA directa → RFQ pendiente.</t>
        </is>
      </c>
      <c r="J82" s="314" t="inlineStr"/>
    </row>
    <row r="83">
      <c r="A83" s="308" t="inlineStr">
        <is>
          <t>3.2.105</t>
        </is>
      </c>
      <c r="B83" s="308" t="inlineStr">
        <is>
          <t>Intercomunicadores</t>
        </is>
      </c>
      <c r="C83" s="309" t="n">
        <v>15000000</v>
      </c>
      <c r="D83" s="310" t="n">
        <v>3128</v>
      </c>
      <c r="E83" s="308" t="inlineStr">
        <is>
          <t>—</t>
        </is>
      </c>
      <c r="F83" s="310" t="inlineStr"/>
      <c r="G83" s="311" t="inlineStr"/>
      <c r="H83" s="312" t="inlineStr">
        <is>
          <t>⬜ SIN REF</t>
        </is>
      </c>
      <c r="I83" s="313" t="inlineStr">
        <is>
          <t>Sin partida BPA directa → RFQ pendiente.</t>
        </is>
      </c>
      <c r="J83" s="314" t="inlineStr"/>
    </row>
    <row r="84">
      <c r="A84" s="308" t="inlineStr">
        <is>
          <t>3.2.106</t>
        </is>
      </c>
      <c r="B84" s="308" t="inlineStr">
        <is>
          <t>Instalación y configuración</t>
        </is>
      </c>
      <c r="C84" s="309" t="n">
        <v>100000000</v>
      </c>
      <c r="D84" s="310" t="n">
        <v>20851</v>
      </c>
      <c r="E84" s="308" t="inlineStr">
        <is>
          <t>—</t>
        </is>
      </c>
      <c r="F84" s="310" t="inlineStr"/>
      <c r="G84" s="311" t="inlineStr"/>
      <c r="H84" s="312" t="inlineStr">
        <is>
          <t>⬜ SIN REF</t>
        </is>
      </c>
      <c r="I84" s="313" t="inlineStr">
        <is>
          <t>Sin partida BPA directa → RFQ pendiente.</t>
        </is>
      </c>
      <c r="J84" s="314" t="inlineStr"/>
    </row>
    <row r="85">
      <c r="A85" s="308" t="inlineStr">
        <is>
          <t>3.2.107</t>
        </is>
      </c>
      <c r="B85" s="308" t="inlineStr">
        <is>
          <t>Repuestos (10%)</t>
        </is>
      </c>
      <c r="C85" s="309" t="n">
        <v>145500000</v>
      </c>
      <c r="D85" s="310" t="n">
        <v>30338</v>
      </c>
      <c r="E85" s="308" t="inlineStr">
        <is>
          <t>—</t>
        </is>
      </c>
      <c r="F85" s="310" t="inlineStr"/>
      <c r="G85" s="311" t="inlineStr"/>
      <c r="H85" s="312" t="inlineStr">
        <is>
          <t>⬜ SIN REF</t>
        </is>
      </c>
      <c r="I85" s="313" t="inlineStr">
        <is>
          <t>Sin partida BPA directa → RFQ pendiente.</t>
        </is>
      </c>
      <c r="J85" s="314" t="inlineStr"/>
    </row>
    <row r="86">
      <c r="A86" s="308" t="inlineStr">
        <is>
          <t>3.3.100</t>
        </is>
      </c>
      <c r="B86" s="308" t="inlineStr">
        <is>
          <t>Detectores humo</t>
        </is>
      </c>
      <c r="C86" s="309" t="n">
        <v>150000</v>
      </c>
      <c r="D86" s="310" t="n">
        <v>31</v>
      </c>
      <c r="E86" s="308" t="inlineStr">
        <is>
          <t>—</t>
        </is>
      </c>
      <c r="F86" s="310" t="inlineStr"/>
      <c r="G86" s="311" t="inlineStr"/>
      <c r="H86" s="312" t="inlineStr">
        <is>
          <t>⬜ SIN REF</t>
        </is>
      </c>
      <c r="I86" s="313" t="inlineStr">
        <is>
          <t>Sin partida BPA directa → RFQ pendiente.</t>
        </is>
      </c>
      <c r="J86" s="314" t="inlineStr"/>
    </row>
    <row r="87">
      <c r="A87" s="308" t="inlineStr">
        <is>
          <t>3.3.101</t>
        </is>
      </c>
      <c r="B87" s="308" t="inlineStr">
        <is>
          <t>Detectores temperatura</t>
        </is>
      </c>
      <c r="C87" s="309" t="n">
        <v>200000</v>
      </c>
      <c r="D87" s="310" t="n">
        <v>42</v>
      </c>
      <c r="E87" s="308" t="inlineStr">
        <is>
          <t>—</t>
        </is>
      </c>
      <c r="F87" s="310" t="inlineStr"/>
      <c r="G87" s="311" t="inlineStr"/>
      <c r="H87" s="312" t="inlineStr">
        <is>
          <t>⬜ SIN REF</t>
        </is>
      </c>
      <c r="I87" s="313" t="inlineStr">
        <is>
          <t>Sin partida BPA directa → RFQ pendiente.</t>
        </is>
      </c>
      <c r="J87" s="314" t="inlineStr"/>
    </row>
    <row r="88">
      <c r="A88" s="308" t="inlineStr">
        <is>
          <t>3.3.102</t>
        </is>
      </c>
      <c r="B88" s="308" t="inlineStr">
        <is>
          <t>Sistema aspersores</t>
        </is>
      </c>
      <c r="C88" s="309" t="n">
        <v>800000</v>
      </c>
      <c r="D88" s="310" t="n">
        <v>167</v>
      </c>
      <c r="E88" s="308" t="inlineStr">
        <is>
          <t>—</t>
        </is>
      </c>
      <c r="F88" s="310" t="inlineStr"/>
      <c r="G88" s="311" t="inlineStr"/>
      <c r="H88" s="312" t="inlineStr">
        <is>
          <t>⬜ SIN REF</t>
        </is>
      </c>
      <c r="I88" s="313" t="inlineStr">
        <is>
          <t>Sin partida BPA directa → RFQ pendiente.</t>
        </is>
      </c>
      <c r="J88" s="314" t="inlineStr"/>
    </row>
    <row r="89">
      <c r="A89" s="308" t="inlineStr">
        <is>
          <t>3.3.103</t>
        </is>
      </c>
      <c r="B89" s="308" t="inlineStr">
        <is>
          <t>Extintores</t>
        </is>
      </c>
      <c r="C89" s="309" t="n">
        <v>500000</v>
      </c>
      <c r="D89" s="310" t="n">
        <v>104</v>
      </c>
      <c r="E89" s="308" t="inlineStr">
        <is>
          <t>—</t>
        </is>
      </c>
      <c r="F89" s="310" t="inlineStr"/>
      <c r="G89" s="311" t="inlineStr"/>
      <c r="H89" s="312" t="inlineStr">
        <is>
          <t>⬜ SIN REF</t>
        </is>
      </c>
      <c r="I89" s="313" t="inlineStr">
        <is>
          <t>Sin partida BPA directa → RFQ pendiente.</t>
        </is>
      </c>
      <c r="J89" s="314" t="inlineStr"/>
    </row>
    <row r="90">
      <c r="A90" s="308" t="inlineStr">
        <is>
          <t>3.3.104</t>
        </is>
      </c>
      <c r="B90" s="308" t="inlineStr">
        <is>
          <t>Sistema alarma</t>
        </is>
      </c>
      <c r="C90" s="309" t="n">
        <v>120000000</v>
      </c>
      <c r="D90" s="310" t="n">
        <v>25021</v>
      </c>
      <c r="E90" s="308" t="inlineStr">
        <is>
          <t>—</t>
        </is>
      </c>
      <c r="F90" s="310" t="inlineStr"/>
      <c r="G90" s="311" t="inlineStr"/>
      <c r="H90" s="312" t="inlineStr">
        <is>
          <t>⬜ SIN REF</t>
        </is>
      </c>
      <c r="I90" s="313" t="inlineStr">
        <is>
          <t>Sin partida BPA directa → RFQ pendiente.</t>
        </is>
      </c>
      <c r="J90" s="314" t="inlineStr"/>
    </row>
    <row r="91">
      <c r="A91" s="308" t="inlineStr">
        <is>
          <t>3.3.105</t>
        </is>
      </c>
      <c r="B91" s="308" t="inlineStr">
        <is>
          <t>Botones emergencia</t>
        </is>
      </c>
      <c r="C91" s="309" t="n">
        <v>500000</v>
      </c>
      <c r="D91" s="310" t="n">
        <v>104</v>
      </c>
      <c r="E91" s="308" t="inlineStr">
        <is>
          <t>—</t>
        </is>
      </c>
      <c r="F91" s="310" t="inlineStr"/>
      <c r="G91" s="311" t="inlineStr"/>
      <c r="H91" s="312" t="inlineStr">
        <is>
          <t>⬜ SIN REF</t>
        </is>
      </c>
      <c r="I91" s="313" t="inlineStr">
        <is>
          <t>Sin partida BPA directa → RFQ pendiente.</t>
        </is>
      </c>
      <c r="J91" s="314" t="inlineStr"/>
    </row>
    <row r="92">
      <c r="A92" s="308" t="inlineStr">
        <is>
          <t>3.3.106</t>
        </is>
      </c>
      <c r="B92" s="308" t="inlineStr">
        <is>
          <t>Instalación</t>
        </is>
      </c>
      <c r="C92" s="309" t="n">
        <v>80000000</v>
      </c>
      <c r="D92" s="310" t="n">
        <v>16681</v>
      </c>
      <c r="E92" s="308" t="inlineStr">
        <is>
          <t>—</t>
        </is>
      </c>
      <c r="F92" s="310" t="inlineStr"/>
      <c r="G92" s="311" t="inlineStr"/>
      <c r="H92" s="312" t="inlineStr">
        <is>
          <t>⬜ SIN REF</t>
        </is>
      </c>
      <c r="I92" s="313" t="inlineStr">
        <is>
          <t>Sin partida BPA directa → RFQ pendiente.</t>
        </is>
      </c>
      <c r="J92" s="314" t="inlineStr"/>
    </row>
    <row r="93">
      <c r="A93" s="308" t="inlineStr">
        <is>
          <t>3.3.107</t>
        </is>
      </c>
      <c r="B93" s="308" t="inlineStr">
        <is>
          <t>Repuestos (10%)</t>
        </is>
      </c>
      <c r="C93" s="309" t="n">
        <v>36500000</v>
      </c>
      <c r="D93" s="310" t="n">
        <v>7611</v>
      </c>
      <c r="E93" s="308" t="inlineStr">
        <is>
          <t>—</t>
        </is>
      </c>
      <c r="F93" s="310" t="inlineStr"/>
      <c r="G93" s="311" t="inlineStr"/>
      <c r="H93" s="312" t="inlineStr">
        <is>
          <t>⬜ SIN REF</t>
        </is>
      </c>
      <c r="I93" s="313" t="inlineStr">
        <is>
          <t>Sin partida BPA directa → RFQ pendiente.</t>
        </is>
      </c>
      <c r="J93" s="314" t="inlineStr"/>
    </row>
    <row r="94">
      <c r="A94" s="308" t="inlineStr">
        <is>
          <t>4.1.100</t>
        </is>
      </c>
      <c r="B94" s="308" t="inlineStr">
        <is>
          <t>Sistemas barreras automáticas SIL-3 vital (FRA Part 236 Subpart I)</t>
        </is>
      </c>
      <c r="C94" s="309" t="n">
        <v>180000000</v>
      </c>
      <c r="D94" s="310" t="n">
        <v>37531</v>
      </c>
      <c r="E94" s="308" t="inlineStr">
        <is>
          <t>—</t>
        </is>
      </c>
      <c r="F94" s="310" t="inlineStr"/>
      <c r="G94" s="311" t="inlineStr"/>
      <c r="H94" s="312" t="inlineStr">
        <is>
          <t>⬜ SIN REF</t>
        </is>
      </c>
      <c r="I94" s="313" t="inlineStr">
        <is>
          <t>Sin partida BPA directa → RFQ pendiente.</t>
        </is>
      </c>
      <c r="J94" s="314" t="inlineStr"/>
    </row>
    <row r="95">
      <c r="A95" s="308" t="inlineStr">
        <is>
          <t>4.1.101</t>
        </is>
      </c>
      <c r="B95" s="308" t="inlineStr">
        <is>
          <t>Senalización LED (Res. 20243040045005)</t>
        </is>
      </c>
      <c r="C95" s="309" t="n">
        <v>80000000</v>
      </c>
      <c r="D95" s="310" t="n">
        <v>16681</v>
      </c>
      <c r="E95" s="308" t="inlineStr">
        <is>
          <t>—</t>
        </is>
      </c>
      <c r="F95" s="310" t="inlineStr"/>
      <c r="G95" s="311" t="inlineStr"/>
      <c r="H95" s="312" t="inlineStr">
        <is>
          <t>⬜ SIN REF</t>
        </is>
      </c>
      <c r="I95" s="313" t="inlineStr">
        <is>
          <t>Sin partida BPA directa → RFQ pendiente.</t>
        </is>
      </c>
      <c r="J95" s="314" t="inlineStr"/>
    </row>
    <row r="96">
      <c r="A96" s="308" t="inlineStr">
        <is>
          <t>4.1.102</t>
        </is>
      </c>
      <c r="B96" s="308" t="inlineStr">
        <is>
          <t>Sistemas detección vehículos SIL-3 vital (FRA Part 236 Subpart I)</t>
        </is>
      </c>
      <c r="C96" s="309" t="n">
        <v>360000000</v>
      </c>
      <c r="D96" s="310" t="n">
        <v>75063</v>
      </c>
      <c r="E96" s="308" t="inlineStr">
        <is>
          <t>—</t>
        </is>
      </c>
      <c r="F96" s="310" t="inlineStr"/>
      <c r="G96" s="311" t="inlineStr"/>
      <c r="H96" s="312" t="inlineStr">
        <is>
          <t>⬜ SIN REF</t>
        </is>
      </c>
      <c r="I96" s="313" t="inlineStr">
        <is>
          <t>Sin partida BPA directa → RFQ pendiente.</t>
        </is>
      </c>
      <c r="J96" s="314" t="inlineStr"/>
    </row>
    <row r="97">
      <c r="A97" s="308" t="inlineStr">
        <is>
          <t>4.1.103</t>
        </is>
      </c>
      <c r="B97" s="308" t="inlineStr">
        <is>
          <t>Sistemas comunicación</t>
        </is>
      </c>
      <c r="C97" s="309" t="n">
        <v>60000000</v>
      </c>
      <c r="D97" s="310" t="n">
        <v>12510</v>
      </c>
      <c r="E97" s="308" t="inlineStr">
        <is>
          <t>—</t>
        </is>
      </c>
      <c r="F97" s="310" t="inlineStr"/>
      <c r="G97" s="311" t="inlineStr"/>
      <c r="H97" s="312" t="inlineStr">
        <is>
          <t>⬜ SIN REF</t>
        </is>
      </c>
      <c r="I97" s="313" t="inlineStr">
        <is>
          <t>Sin partida BPA directa → RFQ pendiente.</t>
        </is>
      </c>
      <c r="J97" s="314" t="inlineStr"/>
    </row>
    <row r="98">
      <c r="A98" s="308" t="inlineStr">
        <is>
          <t>4.1.104</t>
        </is>
      </c>
      <c r="B98" s="308" t="inlineStr">
        <is>
          <t>Sistemas emergencia SIL-3 vital (FRA Part 236 Subpart I)</t>
        </is>
      </c>
      <c r="C98" s="309" t="n">
        <v>40000000</v>
      </c>
      <c r="D98" s="310" t="n">
        <v>8340</v>
      </c>
      <c r="E98" s="308" t="inlineStr">
        <is>
          <t>—</t>
        </is>
      </c>
      <c r="F98" s="310" t="inlineStr"/>
      <c r="G98" s="311" t="inlineStr"/>
      <c r="H98" s="312" t="inlineStr">
        <is>
          <t>⬜ SIN REF</t>
        </is>
      </c>
      <c r="I98" s="313" t="inlineStr">
        <is>
          <t>Sin partida BPA directa → RFQ pendiente.</t>
        </is>
      </c>
      <c r="J98" s="314" t="inlineStr"/>
    </row>
    <row r="99">
      <c r="A99" s="308" t="inlineStr">
        <is>
          <t>4.1.105</t>
        </is>
      </c>
      <c r="B99" s="308" t="inlineStr">
        <is>
          <t>Instalación y configuración</t>
        </is>
      </c>
      <c r="C99" s="309" t="n">
        <v>200000000</v>
      </c>
      <c r="D99" s="310" t="n">
        <v>41701</v>
      </c>
      <c r="E99" s="308" t="inlineStr">
        <is>
          <t>—</t>
        </is>
      </c>
      <c r="F99" s="310" t="inlineStr"/>
      <c r="G99" s="311" t="inlineStr"/>
      <c r="H99" s="312" t="inlineStr">
        <is>
          <t>⬜ SIN REF</t>
        </is>
      </c>
      <c r="I99" s="313" t="inlineStr">
        <is>
          <t>Sin partida BPA directa → RFQ pendiente.</t>
        </is>
      </c>
      <c r="J99" s="314" t="inlineStr"/>
    </row>
    <row r="100">
      <c r="A100" s="308" t="inlineStr">
        <is>
          <t>4.1.106</t>
        </is>
      </c>
      <c r="B100" s="308" t="inlineStr">
        <is>
          <t>Repuestos (10%)</t>
        </is>
      </c>
      <c r="C100" s="309" t="n">
        <v>828000000</v>
      </c>
      <c r="D100" s="310" t="n">
        <v>172644</v>
      </c>
      <c r="E100" s="308" t="inlineStr">
        <is>
          <t>—</t>
        </is>
      </c>
      <c r="F100" s="310" t="inlineStr"/>
      <c r="G100" s="311" t="inlineStr"/>
      <c r="H100" s="312" t="inlineStr">
        <is>
          <t>⬜ SIN REF</t>
        </is>
      </c>
      <c r="I100" s="313" t="inlineStr">
        <is>
          <t>Sin partida BPA directa → RFQ pendiente.</t>
        </is>
      </c>
      <c r="J100" s="314" t="inlineStr"/>
    </row>
    <row r="101">
      <c r="A101" s="308" t="inlineStr">
        <is>
          <t>4.2.100</t>
        </is>
      </c>
      <c r="B101" s="308" t="inlineStr">
        <is>
          <t>Señales Luminosas y Acústicas (SLA) — PaN Tipo B (BCD §8.2.1, NTC 4741:1999). VU</t>
        </is>
      </c>
      <c r="C101" s="309" t="n">
        <v>120000000</v>
      </c>
      <c r="D101" s="310" t="n">
        <v>25021</v>
      </c>
      <c r="E101" s="308" t="inlineStr">
        <is>
          <t>—</t>
        </is>
      </c>
      <c r="F101" s="310" t="inlineStr"/>
      <c r="G101" s="311" t="inlineStr"/>
      <c r="H101" s="312" t="inlineStr">
        <is>
          <t>⬜ SIN REF</t>
        </is>
      </c>
      <c r="I101" s="313" t="inlineStr">
        <is>
          <t>Sin partida BPA directa → RFQ pendiente.</t>
        </is>
      </c>
      <c r="J101" s="314" t="inlineStr"/>
    </row>
    <row r="102">
      <c r="A102" s="308" t="inlineStr">
        <is>
          <t>4.2.101</t>
        </is>
      </c>
      <c r="B102" s="308" t="inlineStr">
        <is>
          <t>Senalización basica (Res. 20243040045005)</t>
        </is>
      </c>
      <c r="C102" s="309" t="n">
        <v>50000000</v>
      </c>
      <c r="D102" s="310" t="n">
        <v>10425</v>
      </c>
      <c r="E102" s="308" t="inlineStr">
        <is>
          <t>—</t>
        </is>
      </c>
      <c r="F102" s="310" t="inlineStr"/>
      <c r="G102" s="311" t="inlineStr"/>
      <c r="H102" s="312" t="inlineStr">
        <is>
          <t>⬜ SIN REF</t>
        </is>
      </c>
      <c r="I102" s="313" t="inlineStr">
        <is>
          <t>Sin partida BPA directa → RFQ pendiente.</t>
        </is>
      </c>
      <c r="J102" s="314" t="inlineStr"/>
    </row>
    <row r="103">
      <c r="A103" s="308" t="inlineStr">
        <is>
          <t>4.2.102</t>
        </is>
      </c>
      <c r="B103" s="308" t="inlineStr">
        <is>
          <t>Sistemas detección</t>
        </is>
      </c>
      <c r="C103" s="309" t="n">
        <v>80000000</v>
      </c>
      <c r="D103" s="310" t="n">
        <v>16681</v>
      </c>
      <c r="E103" s="308" t="inlineStr">
        <is>
          <t>—</t>
        </is>
      </c>
      <c r="F103" s="310" t="inlineStr"/>
      <c r="G103" s="311" t="inlineStr"/>
      <c r="H103" s="312" t="inlineStr">
        <is>
          <t>⬜ SIN REF</t>
        </is>
      </c>
      <c r="I103" s="313" t="inlineStr">
        <is>
          <t>Sin partida BPA directa → RFQ pendiente.</t>
        </is>
      </c>
      <c r="J103" s="314" t="inlineStr"/>
    </row>
    <row r="104">
      <c r="A104" s="308" t="inlineStr">
        <is>
          <t>4.2.103</t>
        </is>
      </c>
      <c r="B104" s="308" t="inlineStr">
        <is>
          <t>Sistemas comunicación</t>
        </is>
      </c>
      <c r="C104" s="309" t="n">
        <v>40000000</v>
      </c>
      <c r="D104" s="310" t="n">
        <v>8340</v>
      </c>
      <c r="E104" s="308" t="inlineStr">
        <is>
          <t>—</t>
        </is>
      </c>
      <c r="F104" s="310" t="inlineStr"/>
      <c r="G104" s="311" t="inlineStr"/>
      <c r="H104" s="312" t="inlineStr">
        <is>
          <t>⬜ SIN REF</t>
        </is>
      </c>
      <c r="I104" s="313" t="inlineStr">
        <is>
          <t>Sin partida BPA directa → RFQ pendiente.</t>
        </is>
      </c>
      <c r="J104" s="314" t="inlineStr"/>
    </row>
    <row r="105">
      <c r="A105" s="308" t="inlineStr">
        <is>
          <t>4.2.104</t>
        </is>
      </c>
      <c r="B105" s="308" t="inlineStr">
        <is>
          <t>Instalación</t>
        </is>
      </c>
      <c r="C105" s="309" t="n">
        <v>60000000</v>
      </c>
      <c r="D105" s="310" t="n">
        <v>12510</v>
      </c>
      <c r="E105" s="308" t="inlineStr">
        <is>
          <t>—</t>
        </is>
      </c>
      <c r="F105" s="310" t="inlineStr"/>
      <c r="G105" s="311" t="inlineStr"/>
      <c r="H105" s="312" t="inlineStr">
        <is>
          <t>⬜ SIN REF</t>
        </is>
      </c>
      <c r="I105" s="313" t="inlineStr">
        <is>
          <t>Sin partida BPA directa → RFQ pendiente.</t>
        </is>
      </c>
      <c r="J105" s="314" t="inlineStr"/>
    </row>
    <row r="106">
      <c r="A106" s="308" t="inlineStr">
        <is>
          <t>4.2.105</t>
        </is>
      </c>
      <c r="B106" s="308" t="inlineStr">
        <is>
          <t>Repuestos (10%)</t>
        </is>
      </c>
      <c r="C106" s="309" t="n">
        <v>525000000</v>
      </c>
      <c r="D106" s="310" t="n">
        <v>109466</v>
      </c>
      <c r="E106" s="308" t="inlineStr">
        <is>
          <t>—</t>
        </is>
      </c>
      <c r="F106" s="310" t="inlineStr"/>
      <c r="G106" s="311" t="inlineStr"/>
      <c r="H106" s="312" t="inlineStr">
        <is>
          <t>⬜ SIN REF</t>
        </is>
      </c>
      <c r="I106" s="313" t="inlineStr">
        <is>
          <t>Sin partida BPA directa → RFQ pendiente.</t>
        </is>
      </c>
      <c r="J106" s="314" t="inlineStr"/>
    </row>
    <row r="107">
      <c r="A107" s="308" t="inlineStr">
        <is>
          <t>4.3.100</t>
        </is>
      </c>
      <c r="B107" s="308" t="inlineStr">
        <is>
          <t>Senalización basica (Manual 2024 / Res. 20243040045005)</t>
        </is>
      </c>
      <c r="C107" s="309" t="n">
        <v>25000000</v>
      </c>
      <c r="D107" s="310" t="n">
        <v>5213</v>
      </c>
      <c r="E107" s="308" t="inlineStr">
        <is>
          <t>—</t>
        </is>
      </c>
      <c r="F107" s="310" t="inlineStr"/>
      <c r="G107" s="311" t="inlineStr"/>
      <c r="H107" s="312" t="inlineStr">
        <is>
          <t>⬜ SIN REF</t>
        </is>
      </c>
      <c r="I107" s="313" t="inlineStr">
        <is>
          <t>Sin partida BPA directa → RFQ pendiente.</t>
        </is>
      </c>
      <c r="J107" s="314" t="inlineStr"/>
    </row>
    <row r="108">
      <c r="A108" s="308" t="inlineStr">
        <is>
          <t>4.3.103</t>
        </is>
      </c>
      <c r="B108" s="308" t="inlineStr">
        <is>
          <t>Repuestos (10%)</t>
        </is>
      </c>
      <c r="C108" s="309" t="n">
        <v>305000000</v>
      </c>
      <c r="D108" s="310" t="n">
        <v>63595</v>
      </c>
      <c r="E108" s="308" t="inlineStr">
        <is>
          <t>—</t>
        </is>
      </c>
      <c r="F108" s="310" t="inlineStr"/>
      <c r="G108" s="311" t="inlineStr"/>
      <c r="H108" s="312" t="inlineStr">
        <is>
          <t>⬜ SIN REF</t>
        </is>
      </c>
      <c r="I108" s="313" t="inlineStr">
        <is>
          <t>Sin partida BPA directa → RFQ pendiente.</t>
        </is>
      </c>
      <c r="J108" s="314" t="inlineStr"/>
    </row>
    <row r="109">
      <c r="A109" s="308" t="inlineStr">
        <is>
          <t>5.1.100</t>
        </is>
      </c>
      <c r="B109" s="308" t="inlineStr">
        <is>
          <t>Construcción edificio</t>
        </is>
      </c>
      <c r="C109" s="309" t="n">
        <v>2500000000</v>
      </c>
      <c r="D109" s="310" t="n">
        <v>521268</v>
      </c>
      <c r="E109" s="308" t="inlineStr">
        <is>
          <t>—</t>
        </is>
      </c>
      <c r="F109" s="310" t="inlineStr"/>
      <c r="G109" s="311" t="inlineStr"/>
      <c r="H109" s="312" t="inlineStr">
        <is>
          <t>⬜ SIN REF</t>
        </is>
      </c>
      <c r="I109" s="313" t="inlineStr">
        <is>
          <t>Sin partida BPA directa → RFQ pendiente.</t>
        </is>
      </c>
      <c r="J109" s="314" t="inlineStr"/>
    </row>
    <row r="110">
      <c r="A110" s="308" t="inlineStr">
        <is>
          <t>5.1.101</t>
        </is>
      </c>
      <c r="B110" s="308" t="inlineStr">
        <is>
          <t>Sala de control</t>
        </is>
      </c>
      <c r="C110" s="309" t="n">
        <v>800000000</v>
      </c>
      <c r="D110" s="310" t="n">
        <v>166806</v>
      </c>
      <c r="E110" s="308" t="inlineStr">
        <is>
          <t>—</t>
        </is>
      </c>
      <c r="F110" s="310" t="inlineStr"/>
      <c r="G110" s="311" t="inlineStr"/>
      <c r="H110" s="312" t="inlineStr">
        <is>
          <t>⬜ SIN REF</t>
        </is>
      </c>
      <c r="I110" s="313" t="inlineStr">
        <is>
          <t>Sin partida BPA directa → RFQ pendiente.</t>
        </is>
      </c>
      <c r="J110" s="314" t="inlineStr"/>
    </row>
    <row r="111">
      <c r="A111" s="308" t="inlineStr">
        <is>
          <t>5.1.102</t>
        </is>
      </c>
      <c r="B111" s="308" t="inlineStr">
        <is>
          <t>Sistemas HVAC</t>
        </is>
      </c>
      <c r="C111" s="309" t="n">
        <v>300000000</v>
      </c>
      <c r="D111" s="310" t="n">
        <v>62552</v>
      </c>
      <c r="E111" s="308" t="inlineStr">
        <is>
          <t>—</t>
        </is>
      </c>
      <c r="F111" s="310" t="inlineStr"/>
      <c r="G111" s="311" t="inlineStr"/>
      <c r="H111" s="312" t="inlineStr">
        <is>
          <t>⬜ SIN REF</t>
        </is>
      </c>
      <c r="I111" s="313" t="inlineStr">
        <is>
          <t>Sin partida BPA directa → RFQ pendiente.</t>
        </is>
      </c>
      <c r="J111" s="314" t="inlineStr"/>
    </row>
    <row r="112">
      <c r="A112" s="308" t="inlineStr">
        <is>
          <t>5.1.103</t>
        </is>
      </c>
      <c r="B112" s="308" t="inlineStr">
        <is>
          <t>Sistemas eléctricos</t>
        </is>
      </c>
      <c r="C112" s="309" t="n">
        <v>400000000</v>
      </c>
      <c r="D112" s="310" t="n">
        <v>83403</v>
      </c>
      <c r="E112" s="308" t="inlineStr">
        <is>
          <t>—</t>
        </is>
      </c>
      <c r="F112" s="310" t="inlineStr"/>
      <c r="G112" s="311" t="inlineStr"/>
      <c r="H112" s="312" t="inlineStr">
        <is>
          <t>⬜ SIN REF</t>
        </is>
      </c>
      <c r="I112" s="313" t="inlineStr">
        <is>
          <t>Sin partida BPA directa → RFQ pendiente.</t>
        </is>
      </c>
      <c r="J112" s="314" t="inlineStr"/>
    </row>
    <row r="113">
      <c r="A113" s="308" t="inlineStr">
        <is>
          <t>5.1.104</t>
        </is>
      </c>
      <c r="B113" s="308" t="inlineStr">
        <is>
          <t>Sistemas seguridad</t>
        </is>
      </c>
      <c r="C113" s="309" t="n">
        <v>200000000</v>
      </c>
      <c r="D113" s="310" t="n">
        <v>41701</v>
      </c>
      <c r="E113" s="308" t="inlineStr">
        <is>
          <t>—</t>
        </is>
      </c>
      <c r="F113" s="310" t="inlineStr"/>
      <c r="G113" s="311" t="inlineStr"/>
      <c r="H113" s="312" t="inlineStr">
        <is>
          <t>⬜ SIN REF</t>
        </is>
      </c>
      <c r="I113" s="313" t="inlineStr">
        <is>
          <t>Sin partida BPA directa → RFQ pendiente.</t>
        </is>
      </c>
      <c r="J113" s="314" t="inlineStr"/>
    </row>
    <row r="114">
      <c r="A114" s="308" t="inlineStr">
        <is>
          <t>5.1.105</t>
        </is>
      </c>
      <c r="B114" s="308" t="inlineStr">
        <is>
          <t>Sistemas comunicaciones</t>
        </is>
      </c>
      <c r="C114" s="309" t="n">
        <v>150000000</v>
      </c>
      <c r="D114" s="310" t="n">
        <v>31276</v>
      </c>
      <c r="E114" s="308" t="inlineStr">
        <is>
          <t>—</t>
        </is>
      </c>
      <c r="F114" s="310" t="inlineStr"/>
      <c r="G114" s="311" t="inlineStr"/>
      <c r="H114" s="312" t="inlineStr">
        <is>
          <t>⬜ SIN REF</t>
        </is>
      </c>
      <c r="I114" s="313" t="inlineStr">
        <is>
          <t>Sin partida BPA directa → RFQ pendiente.</t>
        </is>
      </c>
      <c r="J114" s="314" t="inlineStr"/>
    </row>
    <row r="115">
      <c r="A115" s="308" t="inlineStr">
        <is>
          <t>5.2.100</t>
        </is>
      </c>
      <c r="B115" s="308" t="inlineStr">
        <is>
          <t>Consolas operadores</t>
        </is>
      </c>
      <c r="C115" s="309" t="n">
        <v>120000000</v>
      </c>
      <c r="D115" s="310" t="n">
        <v>25021</v>
      </c>
      <c r="E115" s="308" t="inlineStr">
        <is>
          <t>—</t>
        </is>
      </c>
      <c r="F115" s="310" t="inlineStr"/>
      <c r="G115" s="311" t="inlineStr"/>
      <c r="H115" s="312" t="inlineStr">
        <is>
          <t>⬜ SIN REF</t>
        </is>
      </c>
      <c r="I115" s="313" t="inlineStr">
        <is>
          <t>Sin partida BPA directa → RFQ pendiente.</t>
        </is>
      </c>
      <c r="J115" s="314" t="inlineStr"/>
    </row>
    <row r="116">
      <c r="A116" s="308" t="inlineStr">
        <is>
          <t>5.2.101</t>
        </is>
      </c>
      <c r="B116" s="308" t="inlineStr">
        <is>
          <t>Pantallas de video</t>
        </is>
      </c>
      <c r="C116" s="309" t="n">
        <v>25000000</v>
      </c>
      <c r="D116" s="310" t="n">
        <v>5213</v>
      </c>
      <c r="E116" s="308" t="inlineStr">
        <is>
          <t>—</t>
        </is>
      </c>
      <c r="F116" s="310" t="inlineStr"/>
      <c r="G116" s="311" t="inlineStr"/>
      <c r="H116" s="312" t="inlineStr">
        <is>
          <t>⬜ SIN REF</t>
        </is>
      </c>
      <c r="I116" s="313" t="inlineStr">
        <is>
          <t>Sin partida BPA directa → RFQ pendiente.</t>
        </is>
      </c>
      <c r="J116" s="314" t="inlineStr"/>
    </row>
    <row r="117">
      <c r="A117" s="308" t="inlineStr">
        <is>
          <t>5.2.102</t>
        </is>
      </c>
      <c r="B117" s="308" t="inlineStr">
        <is>
          <t>Sistema audio</t>
        </is>
      </c>
      <c r="C117" s="309" t="n">
        <v>80000000</v>
      </c>
      <c r="D117" s="310" t="n">
        <v>16681</v>
      </c>
      <c r="E117" s="308" t="inlineStr">
        <is>
          <t>—</t>
        </is>
      </c>
      <c r="F117" s="310" t="inlineStr"/>
      <c r="G117" s="311" t="inlineStr"/>
      <c r="H117" s="312" t="inlineStr">
        <is>
          <t>⬜ SIN REF</t>
        </is>
      </c>
      <c r="I117" s="313" t="inlineStr">
        <is>
          <t>Sin partida BPA directa → RFQ pendiente.</t>
        </is>
      </c>
      <c r="J117" s="314" t="inlineStr"/>
    </row>
    <row r="118">
      <c r="A118" s="308" t="inlineStr">
        <is>
          <t>5.2.103</t>
        </is>
      </c>
      <c r="B118" s="308" t="inlineStr">
        <is>
          <t>Sistema iluminación</t>
        </is>
      </c>
      <c r="C118" s="309" t="n">
        <v>60000000</v>
      </c>
      <c r="D118" s="310" t="n">
        <v>12510</v>
      </c>
      <c r="E118" s="308" t="inlineStr">
        <is>
          <t>—</t>
        </is>
      </c>
      <c r="F118" s="310" t="inlineStr"/>
      <c r="G118" s="311" t="inlineStr"/>
      <c r="H118" s="312" t="inlineStr">
        <is>
          <t>⬜ SIN REF</t>
        </is>
      </c>
      <c r="I118" s="313" t="inlineStr">
        <is>
          <t>Sin partida BPA directa → RFQ pendiente.</t>
        </is>
      </c>
      <c r="J118" s="314" t="inlineStr"/>
    </row>
    <row r="119">
      <c r="A119" s="308" t="inlineStr">
        <is>
          <t>5.2.104</t>
        </is>
      </c>
      <c r="B119" s="308" t="inlineStr">
        <is>
          <t>Muebles y accesorios</t>
        </is>
      </c>
      <c r="C119" s="309" t="n">
        <v>100000000</v>
      </c>
      <c r="D119" s="310" t="n">
        <v>20851</v>
      </c>
      <c r="E119" s="308" t="inlineStr">
        <is>
          <t>—</t>
        </is>
      </c>
      <c r="F119" s="310" t="inlineStr"/>
      <c r="G119" s="311" t="inlineStr"/>
      <c r="H119" s="312" t="inlineStr">
        <is>
          <t>⬜ SIN REF</t>
        </is>
      </c>
      <c r="I119" s="313" t="inlineStr">
        <is>
          <t>Sin partida BPA directa → RFQ pendiente.</t>
        </is>
      </c>
      <c r="J119" s="314" t="inlineStr"/>
    </row>
    <row r="120">
      <c r="A120" s="308" t="inlineStr">
        <is>
          <t>5.3.100</t>
        </is>
      </c>
      <c r="B120" s="308" t="inlineStr">
        <is>
          <t>Servidores SCADA</t>
        </is>
      </c>
      <c r="C120" s="309" t="n">
        <v>400000000</v>
      </c>
      <c r="D120" s="310" t="n">
        <v>83403</v>
      </c>
      <c r="E120" s="308" t="inlineStr">
        <is>
          <t>—</t>
        </is>
      </c>
      <c r="F120" s="310" t="inlineStr"/>
      <c r="G120" s="311" t="inlineStr"/>
      <c r="H120" s="312" t="inlineStr">
        <is>
          <t>⬜ SIN REF</t>
        </is>
      </c>
      <c r="I120" s="313" t="inlineStr">
        <is>
          <t>Sin partida BPA directa → RFQ pendiente.</t>
        </is>
      </c>
      <c r="J120" s="314" t="inlineStr"/>
    </row>
    <row r="121">
      <c r="A121" s="308" t="inlineStr">
        <is>
          <t>5.3.101</t>
        </is>
      </c>
      <c r="B121" s="308" t="inlineStr">
        <is>
          <t>Software SCADA</t>
        </is>
      </c>
      <c r="C121" s="309" t="n">
        <v>5000000000</v>
      </c>
      <c r="D121" s="310" t="n">
        <v>1042535</v>
      </c>
      <c r="E121" s="308" t="inlineStr">
        <is>
          <t>—</t>
        </is>
      </c>
      <c r="F121" s="310" t="inlineStr"/>
      <c r="G121" s="311" t="inlineStr"/>
      <c r="H121" s="312" t="inlineStr">
        <is>
          <t>⬜ SIN REF</t>
        </is>
      </c>
      <c r="I121" s="313" t="inlineStr">
        <is>
          <t>Sin partida BPA directa → RFQ pendiente.</t>
        </is>
      </c>
      <c r="J121" s="314" t="inlineStr"/>
    </row>
    <row r="122">
      <c r="A122" s="308" t="inlineStr">
        <is>
          <t>5.3.102</t>
        </is>
      </c>
      <c r="B122" s="308" t="inlineStr">
        <is>
          <t>Base de datos</t>
        </is>
      </c>
      <c r="C122" s="309" t="n">
        <v>150000000</v>
      </c>
      <c r="D122" s="310" t="n">
        <v>31276</v>
      </c>
      <c r="E122" s="308" t="inlineStr">
        <is>
          <t>—</t>
        </is>
      </c>
      <c r="F122" s="310" t="inlineStr"/>
      <c r="G122" s="311" t="inlineStr"/>
      <c r="H122" s="312" t="inlineStr">
        <is>
          <t>⬜ SIN REF</t>
        </is>
      </c>
      <c r="I122" s="313" t="inlineStr">
        <is>
          <t>Sin partida BPA directa → RFQ pendiente.</t>
        </is>
      </c>
      <c r="J122" s="314" t="inlineStr"/>
    </row>
    <row r="123">
      <c r="A123" s="308" t="inlineStr">
        <is>
          <t>5.3.103</t>
        </is>
      </c>
      <c r="B123" s="308" t="inlineStr">
        <is>
          <t>Interfaces comunicación</t>
        </is>
      </c>
      <c r="C123" s="309" t="n">
        <v>4112000000</v>
      </c>
      <c r="D123" s="310" t="n">
        <v>857381</v>
      </c>
      <c r="E123" s="308" t="inlineStr">
        <is>
          <t>—</t>
        </is>
      </c>
      <c r="F123" s="310" t="inlineStr"/>
      <c r="G123" s="311" t="inlineStr"/>
      <c r="H123" s="312" t="inlineStr">
        <is>
          <t>⬜ SIN REF</t>
        </is>
      </c>
      <c r="I123" s="313" t="inlineStr">
        <is>
          <t>Sin partida BPA directa → RFQ pendiente.</t>
        </is>
      </c>
      <c r="J123" s="314" t="inlineStr"/>
    </row>
    <row r="124">
      <c r="A124" s="308" t="inlineStr">
        <is>
          <t>5.3.104</t>
        </is>
      </c>
      <c r="B124" s="308" t="inlineStr">
        <is>
          <t>Sistema redundancia</t>
        </is>
      </c>
      <c r="C124" s="309" t="n">
        <v>300000000</v>
      </c>
      <c r="D124" s="310" t="n">
        <v>62552</v>
      </c>
      <c r="E124" s="308" t="inlineStr">
        <is>
          <t>—</t>
        </is>
      </c>
      <c r="F124" s="310" t="inlineStr"/>
      <c r="G124" s="311" t="inlineStr"/>
      <c r="H124" s="312" t="inlineStr">
        <is>
          <t>⬜ SIN REF</t>
        </is>
      </c>
      <c r="I124" s="313" t="inlineStr">
        <is>
          <t>Sin partida BPA directa → RFQ pendiente.</t>
        </is>
      </c>
      <c r="J124" s="314" t="inlineStr"/>
    </row>
    <row r="125">
      <c r="A125" s="308" t="inlineStr">
        <is>
          <t>5.3.105</t>
        </is>
      </c>
      <c r="B125" s="308" t="inlineStr">
        <is>
          <t>Configuración</t>
        </is>
      </c>
      <c r="C125" s="309" t="n">
        <v>100000000</v>
      </c>
      <c r="D125" s="310" t="n">
        <v>20851</v>
      </c>
      <c r="E125" s="308" t="inlineStr">
        <is>
          <t>—</t>
        </is>
      </c>
      <c r="F125" s="310" t="inlineStr"/>
      <c r="G125" s="311" t="inlineStr"/>
      <c r="H125" s="312" t="inlineStr">
        <is>
          <t>⬜ SIN REF</t>
        </is>
      </c>
      <c r="I125" s="313" t="inlineStr">
        <is>
          <t>Sin partida BPA directa → RFQ pendiente.</t>
        </is>
      </c>
      <c r="J125" s="314" t="inlineStr"/>
    </row>
    <row r="126">
      <c r="A126" s="308" t="inlineStr">
        <is>
          <t>6.1.100</t>
        </is>
      </c>
      <c r="B126" s="308" t="inlineStr">
        <is>
          <t>Sistemas PTC embarcados</t>
        </is>
      </c>
      <c r="C126" s="309" t="n">
        <v>400000000</v>
      </c>
      <c r="D126" s="310" t="n">
        <v>83403</v>
      </c>
      <c r="E126" s="308" t="inlineStr">
        <is>
          <t>—</t>
        </is>
      </c>
      <c r="F126" s="310" t="inlineStr"/>
      <c r="G126" s="311" t="inlineStr"/>
      <c r="H126" s="312" t="inlineStr">
        <is>
          <t>⬜ SIN REF</t>
        </is>
      </c>
      <c r="I126" s="313" t="inlineStr">
        <is>
          <t>Sin partida BPA directa → RFQ pendiente.</t>
        </is>
      </c>
      <c r="J126" s="314" t="inlineStr"/>
    </row>
    <row r="127">
      <c r="A127" s="308" t="inlineStr">
        <is>
          <t>6.1.101</t>
        </is>
      </c>
      <c r="B127" s="308" t="inlineStr">
        <is>
          <t>Radios TETRA embarcados</t>
        </is>
      </c>
      <c r="C127" s="309" t="n">
        <v>35000000</v>
      </c>
      <c r="D127" s="310" t="n">
        <v>7298</v>
      </c>
      <c r="E127" s="308" t="inlineStr">
        <is>
          <t>—</t>
        </is>
      </c>
      <c r="F127" s="310" t="inlineStr"/>
      <c r="G127" s="311" t="inlineStr"/>
      <c r="H127" s="312" t="inlineStr">
        <is>
          <t>⬜ SIN REF</t>
        </is>
      </c>
      <c r="I127" s="313" t="inlineStr">
        <is>
          <t>Sin partida BPA directa → RFQ pendiente.</t>
        </is>
      </c>
      <c r="J127" s="314" t="inlineStr"/>
    </row>
    <row r="128">
      <c r="A128" s="308" t="inlineStr">
        <is>
          <t>6.1.102</t>
        </is>
      </c>
      <c r="B128" s="308" t="inlineStr">
        <is>
          <t>Radios embarcados — red móvil broadband ferroviaria (complemento TETRA)</t>
        </is>
      </c>
      <c r="C128" s="309" t="n">
        <v>25000000</v>
      </c>
      <c r="D128" s="310" t="n">
        <v>5213</v>
      </c>
      <c r="E128" s="308" t="inlineStr">
        <is>
          <t>—</t>
        </is>
      </c>
      <c r="F128" s="310" t="inlineStr"/>
      <c r="G128" s="311" t="inlineStr"/>
      <c r="H128" s="312" t="inlineStr">
        <is>
          <t>⬜ SIN REF</t>
        </is>
      </c>
      <c r="I128" s="313" t="inlineStr">
        <is>
          <t>Sin partida BPA directa → RFQ pendiente.</t>
        </is>
      </c>
      <c r="J128" s="314" t="inlineStr"/>
    </row>
    <row r="129">
      <c r="A129" s="308" t="inlineStr">
        <is>
          <t>6.1.103</t>
        </is>
      </c>
      <c r="B129" s="308" t="inlineStr">
        <is>
          <t>Sistemas GPS</t>
        </is>
      </c>
      <c r="C129" s="309" t="n">
        <v>35000000</v>
      </c>
      <c r="D129" s="310" t="n">
        <v>7298</v>
      </c>
      <c r="E129" s="308" t="inlineStr">
        <is>
          <t>—</t>
        </is>
      </c>
      <c r="F129" s="310" t="inlineStr"/>
      <c r="G129" s="311" t="inlineStr"/>
      <c r="H129" s="312" t="inlineStr">
        <is>
          <t>⬜ SIN REF</t>
        </is>
      </c>
      <c r="I129" s="313" t="inlineStr">
        <is>
          <t>Sin partida BPA directa → RFQ pendiente.</t>
        </is>
      </c>
      <c r="J129" s="314" t="inlineStr"/>
    </row>
    <row r="130">
      <c r="A130" s="308" t="inlineStr">
        <is>
          <t>6.1.104</t>
        </is>
      </c>
      <c r="B130" s="308" t="inlineStr">
        <is>
          <t>Sistemas redundancia</t>
        </is>
      </c>
      <c r="C130" s="309" t="n">
        <v>80000000</v>
      </c>
      <c r="D130" s="310" t="n">
        <v>16681</v>
      </c>
      <c r="E130" s="308" t="inlineStr">
        <is>
          <t>—</t>
        </is>
      </c>
      <c r="F130" s="310" t="inlineStr"/>
      <c r="G130" s="311" t="inlineStr"/>
      <c r="H130" s="312" t="inlineStr">
        <is>
          <t>⬜ SIN REF</t>
        </is>
      </c>
      <c r="I130" s="313" t="inlineStr">
        <is>
          <t>Sin partida BPA directa → RFQ pendiente.</t>
        </is>
      </c>
      <c r="J130" s="314" t="inlineStr"/>
    </row>
    <row r="131">
      <c r="A131" s="308" t="inlineStr">
        <is>
          <t>6.1.105</t>
        </is>
      </c>
      <c r="B131" s="308" t="inlineStr">
        <is>
          <t>Instalación y configuración</t>
        </is>
      </c>
      <c r="C131" s="309" t="n">
        <v>100000000</v>
      </c>
      <c r="D131" s="310" t="n">
        <v>20851</v>
      </c>
      <c r="E131" s="308" t="inlineStr">
        <is>
          <t>—</t>
        </is>
      </c>
      <c r="F131" s="310" t="inlineStr"/>
      <c r="G131" s="311" t="inlineStr"/>
      <c r="H131" s="312" t="inlineStr">
        <is>
          <t>⬜ SIN REF</t>
        </is>
      </c>
      <c r="I131" s="313" t="inlineStr">
        <is>
          <t>Sin partida BPA directa → RFQ pendiente.</t>
        </is>
      </c>
      <c r="J131" s="314" t="inlineStr"/>
    </row>
    <row r="132">
      <c r="A132" s="308" t="inlineStr">
        <is>
          <t>6.1.106</t>
        </is>
      </c>
      <c r="B132" s="308" t="inlineStr">
        <is>
          <t>Repuestos (10%)</t>
        </is>
      </c>
      <c r="C132" s="309" t="n">
        <v>1102500000</v>
      </c>
      <c r="D132" s="310" t="n">
        <v>229879</v>
      </c>
      <c r="E132" s="308" t="inlineStr">
        <is>
          <t>—</t>
        </is>
      </c>
      <c r="F132" s="310" t="inlineStr"/>
      <c r="G132" s="311" t="inlineStr"/>
      <c r="H132" s="312" t="inlineStr">
        <is>
          <t>⬜ SIN REF</t>
        </is>
      </c>
      <c r="I132" s="313" t="inlineStr">
        <is>
          <t>Sin partida BPA directa → RFQ pendiente.</t>
        </is>
      </c>
      <c r="J132" s="314" t="inlineStr"/>
    </row>
    <row r="133">
      <c r="A133" s="308" t="inlineStr">
        <is>
          <t>6.2.100</t>
        </is>
      </c>
      <c r="B133" s="308" t="inlineStr">
        <is>
          <t>Dispositivos EOT completos</t>
        </is>
      </c>
      <c r="C133" s="309" t="n">
        <v>25000000</v>
      </c>
      <c r="D133" s="310" t="n">
        <v>5213</v>
      </c>
      <c r="E133" s="308" t="inlineStr">
        <is>
          <t>—</t>
        </is>
      </c>
      <c r="F133" s="310" t="inlineStr"/>
      <c r="G133" s="311" t="inlineStr"/>
      <c r="H133" s="312" t="inlineStr">
        <is>
          <t>⬜ SIN REF</t>
        </is>
      </c>
      <c r="I133" s="313" t="inlineStr">
        <is>
          <t>Sin partida BPA directa → RFQ pendiente.</t>
        </is>
      </c>
      <c r="J133" s="314" t="inlineStr"/>
    </row>
    <row r="134">
      <c r="A134" s="308" t="inlineStr">
        <is>
          <t>6.2.101</t>
        </is>
      </c>
      <c r="B134" s="308" t="inlineStr">
        <is>
          <t>Repuestos EOT (10%)</t>
        </is>
      </c>
      <c r="C134" s="309" t="n">
        <v>25000000</v>
      </c>
      <c r="D134" s="310" t="n">
        <v>5213</v>
      </c>
      <c r="E134" s="308" t="inlineStr">
        <is>
          <t>—</t>
        </is>
      </c>
      <c r="F134" s="310" t="inlineStr"/>
      <c r="G134" s="311" t="inlineStr"/>
      <c r="H134" s="312" t="inlineStr">
        <is>
          <t>⬜ SIN REF</t>
        </is>
      </c>
      <c r="I134" s="313" t="inlineStr">
        <is>
          <t>Sin partida BPA directa → RFQ pendiente.</t>
        </is>
      </c>
      <c r="J134" s="314" t="inlineStr"/>
    </row>
    <row r="135">
      <c r="A135" s="308" t="inlineStr">
        <is>
          <t>6.2.102</t>
        </is>
      </c>
      <c r="B135" s="308" t="inlineStr">
        <is>
          <t>Instalación EOT</t>
        </is>
      </c>
      <c r="C135" s="309" t="n">
        <v>5000000</v>
      </c>
      <c r="D135" s="310" t="n">
        <v>1043</v>
      </c>
      <c r="E135" s="308" t="inlineStr">
        <is>
          <t>—</t>
        </is>
      </c>
      <c r="F135" s="310" t="inlineStr"/>
      <c r="G135" s="311" t="inlineStr"/>
      <c r="H135" s="312" t="inlineStr">
        <is>
          <t>⬜ SIN REF</t>
        </is>
      </c>
      <c r="I135" s="313" t="inlineStr">
        <is>
          <t>Sin partida BPA directa → RFQ pendiente.</t>
        </is>
      </c>
      <c r="J135" s="314" t="inlineStr"/>
    </row>
    <row r="136">
      <c r="A136" s="308" t="inlineStr">
        <is>
          <t>6.2.103</t>
        </is>
      </c>
      <c r="B136" s="308" t="inlineStr">
        <is>
          <t>Configuración EOT</t>
        </is>
      </c>
      <c r="C136" s="309" t="n">
        <v>20000000</v>
      </c>
      <c r="D136" s="310" t="n">
        <v>4170</v>
      </c>
      <c r="E136" s="308" t="inlineStr">
        <is>
          <t>—</t>
        </is>
      </c>
      <c r="F136" s="310" t="inlineStr"/>
      <c r="G136" s="311" t="inlineStr"/>
      <c r="H136" s="312" t="inlineStr">
        <is>
          <t>⬜ SIN REF</t>
        </is>
      </c>
      <c r="I136" s="313" t="inlineStr">
        <is>
          <t>Sin partida BPA directa → RFQ pendiente.</t>
        </is>
      </c>
      <c r="J136" s="314" t="inlineStr"/>
    </row>
    <row r="138">
      <c r="A138" s="319" t="inlineStr">
        <is>
          <t>Resumen: ✅ 7 OK · ⚠ 1 revisar · 🔴 1 fuera de rango · ⬜ 124 sin ref (RFQ). Solo ítems con partida ADIF mapeada se contrastan; el resto requiere RFQ. No se modificó ningún VU.</t>
        </is>
      </c>
    </row>
  </sheetData>
  <mergeCells count="2">
    <mergeCell ref="A1:J1"/>
    <mergeCell ref="A138:J138"/>
  </mergeCells>
  <hyperlinks>
    <hyperlink xmlns:r="http://schemas.openxmlformats.org/officeDocument/2006/relationships" ref="J18" r:id="rId1"/>
    <hyperlink xmlns:r="http://schemas.openxmlformats.org/officeDocument/2006/relationships" ref="J19" r:id="rId2"/>
    <hyperlink xmlns:r="http://schemas.openxmlformats.org/officeDocument/2006/relationships" ref="J20" r:id="rId3"/>
    <hyperlink xmlns:r="http://schemas.openxmlformats.org/officeDocument/2006/relationships" ref="J21" r:id="rId4"/>
    <hyperlink xmlns:r="http://schemas.openxmlformats.org/officeDocument/2006/relationships" ref="J22" r:id="rId5"/>
    <hyperlink xmlns:r="http://schemas.openxmlformats.org/officeDocument/2006/relationships" ref="J25" r:id="rId6"/>
    <hyperlink xmlns:r="http://schemas.openxmlformats.org/officeDocument/2006/relationships" ref="J28" r:id="rId7"/>
    <hyperlink xmlns:r="http://schemas.openxmlformats.org/officeDocument/2006/relationships" ref="J29" r:id="rId8"/>
    <hyperlink xmlns:r="http://schemas.openxmlformats.org/officeDocument/2006/relationships" ref="J5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Diego.Zuñiga</dc:creator>
  <dcterms:created xsi:type="dcterms:W3CDTF">2026-05-06T20:36:49Z</dcterms:created>
  <dcterms:modified xsi:type="dcterms:W3CDTF">2026-05-24T04:23:09Z</dcterms:modified>
  <cp:lastModifiedBy>Diego Leonardo Zuñiga Samboni</cp:lastModifiedBy>
</cp:coreProperties>
</file>