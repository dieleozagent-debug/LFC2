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Diego.Zuñiga\Downloads\"/>
    </mc:Choice>
  </mc:AlternateContent>
  <xr:revisionPtr revIDLastSave="0" documentId="13_ncr:1_{76F92101-7746-487D-88B8-898F9BEB589F}" xr6:coauthVersionLast="47" xr6:coauthVersionMax="47" xr10:uidLastSave="{00000000-0000-0000-0000-000000000000}"/>
  <bookViews>
    <workbookView xWindow="-120" yWindow="-120" windowWidth="29040" windowHeight="15720" firstSheet="4" activeTab="7" xr2:uid="{00000000-000D-0000-FFFF-FFFF00000000}"/>
  </bookViews>
  <sheets>
    <sheet name="0.Resumen Gerencial" sheetId="8" r:id="rId1"/>
    <sheet name="1.Total General" sheetId="1" r:id="rId2"/>
    <sheet name="2.Por Capítulo" sheetId="2" r:id="rId3"/>
    <sheet name="3.Detalle Ítems" sheetId="3" r:id="rId4"/>
    <sheet name="4.Obra vs Compras" sheetId="4" r:id="rId5"/>
    <sheet name="5.AIU Desglose" sheetId="5" r:id="rId6"/>
    <sheet name="6.Pendientes RFQ" sheetId="6" r:id="rId7"/>
    <sheet name="7.Fuentes y Notas" sheetId="7" r:id="rId8"/>
  </sheets>
  <definedNames>
    <definedName name="_xlnm._FilterDatabase" localSheetId="3">'3.Detalle Ítems'!A2:J135</definedName>
    <definedName name="_xlnm.Print_Area" localSheetId="0">'0.Resumen Gerencial'!$A$1:$F$35</definedName>
    <definedName name="_xlnm.Print_Titles" localSheetId="1">'1.Total General'!$1:$2</definedName>
    <definedName name="_xlnm.Print_Titles" localSheetId="2">'2.Por Capítulo'!$1:$1</definedName>
    <definedName name="_xlnm.Print_Titles" localSheetId="3">'3.Detalle Ítems'!$1:$1</definedName>
    <definedName name="_xlnm.Print_Titles" localSheetId="4">'4.Obra vs Compras'!$1:$4</definedName>
    <definedName name="_xlnm.Print_Titles" localSheetId="5">'5.AIU Desglose'!$1:$4</definedName>
    <definedName name="_xlnm.Print_Titles" localSheetId="6">'6.Pendientes RFQ'!$1:$4</definedName>
    <definedName name="_xlnm.Print_Titles" localSheetId="7">'7.Fuentes y Notas'!$1:$2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1" i="8" l="1"/>
  <c r="F11" i="8" s="1"/>
  <c r="D10" i="8"/>
  <c r="C10" i="8"/>
  <c r="E10" i="8" s="1"/>
  <c r="F10" i="8" s="1"/>
  <c r="B10" i="8"/>
  <c r="C18" i="1" l="1"/>
  <c r="E13" i="1"/>
  <c r="E12" i="1"/>
  <c r="E11" i="1"/>
  <c r="E8" i="1"/>
  <c r="E7" i="1"/>
  <c r="E6" i="1"/>
  <c r="E5" i="1"/>
  <c r="J3" i="3"/>
  <c r="I3" i="3"/>
  <c r="I4" i="3"/>
  <c r="J4" i="3" s="1"/>
  <c r="I5" i="3"/>
  <c r="J5" i="3" s="1"/>
  <c r="I6" i="3"/>
  <c r="J6" i="3" s="1"/>
  <c r="I7" i="3"/>
  <c r="J7" i="3" s="1"/>
  <c r="I8" i="3"/>
  <c r="J8" i="3" s="1"/>
  <c r="I9" i="3"/>
  <c r="J9" i="3" s="1"/>
  <c r="I10" i="3"/>
  <c r="J10" i="3" s="1"/>
  <c r="I11" i="3"/>
  <c r="J11" i="3" s="1"/>
  <c r="I12" i="3"/>
  <c r="J12" i="3" s="1"/>
  <c r="I13" i="3"/>
  <c r="J13" i="3" s="1"/>
  <c r="I14" i="3"/>
  <c r="J14" i="3" s="1"/>
  <c r="I15" i="3"/>
  <c r="J15" i="3" s="1"/>
  <c r="I16" i="3"/>
  <c r="J16" i="3" s="1"/>
  <c r="I17" i="3"/>
  <c r="J17" i="3" s="1"/>
  <c r="I18" i="3"/>
  <c r="J18" i="3" s="1"/>
  <c r="I19" i="3"/>
  <c r="J19" i="3" s="1"/>
  <c r="I20" i="3"/>
  <c r="J20" i="3" s="1"/>
  <c r="I21" i="3"/>
  <c r="J21" i="3" s="1"/>
  <c r="I22" i="3"/>
  <c r="J22" i="3" s="1"/>
  <c r="I23" i="3"/>
  <c r="J23" i="3" s="1"/>
  <c r="I24" i="3"/>
  <c r="J24" i="3" s="1"/>
  <c r="I25" i="3"/>
  <c r="J25" i="3" s="1"/>
  <c r="I26" i="3"/>
  <c r="J26" i="3" s="1"/>
  <c r="I27" i="3"/>
  <c r="J27" i="3" s="1"/>
  <c r="I28" i="3"/>
  <c r="J28" i="3" s="1"/>
  <c r="I29" i="3"/>
  <c r="J29" i="3" s="1"/>
  <c r="I30" i="3"/>
  <c r="J30" i="3" s="1"/>
  <c r="I31" i="3"/>
  <c r="J31" i="3" s="1"/>
  <c r="I32" i="3"/>
  <c r="J32" i="3" s="1"/>
  <c r="I33" i="3"/>
  <c r="J33" i="3" s="1"/>
  <c r="I34" i="3"/>
  <c r="J34" i="3" s="1"/>
  <c r="I35" i="3"/>
  <c r="J35" i="3" s="1"/>
  <c r="I36" i="3"/>
  <c r="J36" i="3" s="1"/>
  <c r="I37" i="3"/>
  <c r="J37" i="3" s="1"/>
  <c r="I38" i="3"/>
  <c r="J38" i="3" s="1"/>
  <c r="I39" i="3"/>
  <c r="J39" i="3" s="1"/>
  <c r="I40" i="3"/>
  <c r="J40" i="3" s="1"/>
  <c r="I41" i="3"/>
  <c r="J41" i="3" s="1"/>
  <c r="I42" i="3"/>
  <c r="J42" i="3" s="1"/>
  <c r="I43" i="3"/>
  <c r="J43" i="3" s="1"/>
  <c r="I44" i="3"/>
  <c r="J44" i="3" s="1"/>
  <c r="I45" i="3"/>
  <c r="J45" i="3" s="1"/>
  <c r="I46" i="3"/>
  <c r="J46" i="3" s="1"/>
  <c r="I47" i="3"/>
  <c r="J47" i="3" s="1"/>
  <c r="I48" i="3"/>
  <c r="J48" i="3" s="1"/>
  <c r="I49" i="3"/>
  <c r="J49" i="3" s="1"/>
  <c r="I50" i="3"/>
  <c r="J50" i="3" s="1"/>
  <c r="I51" i="3"/>
  <c r="J51" i="3" s="1"/>
  <c r="I52" i="3"/>
  <c r="J52" i="3" s="1"/>
  <c r="I53" i="3"/>
  <c r="J53" i="3" s="1"/>
  <c r="I54" i="3"/>
  <c r="J54" i="3" s="1"/>
  <c r="I55" i="3"/>
  <c r="J55" i="3" s="1"/>
  <c r="I56" i="3"/>
  <c r="J56" i="3" s="1"/>
  <c r="I57" i="3"/>
  <c r="J57" i="3" s="1"/>
  <c r="I58" i="3"/>
  <c r="J58" i="3" s="1"/>
  <c r="I59" i="3"/>
  <c r="J59" i="3" s="1"/>
  <c r="I60" i="3"/>
  <c r="J60" i="3" s="1"/>
  <c r="I61" i="3"/>
  <c r="J61" i="3" s="1"/>
  <c r="I62" i="3"/>
  <c r="J62" i="3" s="1"/>
  <c r="I63" i="3"/>
  <c r="J63" i="3" s="1"/>
  <c r="I64" i="3"/>
  <c r="J64" i="3" s="1"/>
  <c r="I65" i="3"/>
  <c r="J65" i="3" s="1"/>
  <c r="I66" i="3"/>
  <c r="J66" i="3" s="1"/>
  <c r="I67" i="3"/>
  <c r="J67" i="3" s="1"/>
  <c r="I68" i="3"/>
  <c r="J68" i="3" s="1"/>
  <c r="I69" i="3"/>
  <c r="J69" i="3" s="1"/>
  <c r="I70" i="3"/>
  <c r="J70" i="3" s="1"/>
  <c r="I71" i="3"/>
  <c r="J71" i="3" s="1"/>
  <c r="I72" i="3"/>
  <c r="J72" i="3" s="1"/>
  <c r="I73" i="3"/>
  <c r="J73" i="3" s="1"/>
  <c r="I74" i="3"/>
  <c r="J74" i="3" s="1"/>
  <c r="I75" i="3"/>
  <c r="J75" i="3" s="1"/>
  <c r="I76" i="3"/>
  <c r="J76" i="3" s="1"/>
  <c r="I77" i="3"/>
  <c r="J77" i="3" s="1"/>
  <c r="I78" i="3"/>
  <c r="J78" i="3" s="1"/>
  <c r="I79" i="3"/>
  <c r="J79" i="3" s="1"/>
  <c r="I80" i="3"/>
  <c r="J80" i="3" s="1"/>
  <c r="I81" i="3"/>
  <c r="J81" i="3" s="1"/>
  <c r="I82" i="3"/>
  <c r="J82" i="3" s="1"/>
  <c r="I83" i="3"/>
  <c r="J83" i="3" s="1"/>
  <c r="I84" i="3"/>
  <c r="J84" i="3" s="1"/>
  <c r="I85" i="3"/>
  <c r="J85" i="3" s="1"/>
  <c r="I86" i="3"/>
  <c r="J86" i="3" s="1"/>
  <c r="I87" i="3"/>
  <c r="J87" i="3" s="1"/>
  <c r="I88" i="3"/>
  <c r="J88" i="3" s="1"/>
  <c r="I89" i="3"/>
  <c r="J89" i="3" s="1"/>
  <c r="I90" i="3"/>
  <c r="J90" i="3" s="1"/>
  <c r="I91" i="3"/>
  <c r="J91" i="3" s="1"/>
  <c r="I92" i="3"/>
  <c r="J92" i="3" s="1"/>
  <c r="I93" i="3"/>
  <c r="J93" i="3" s="1"/>
  <c r="I94" i="3"/>
  <c r="J94" i="3" s="1"/>
  <c r="I95" i="3"/>
  <c r="J95" i="3" s="1"/>
  <c r="I96" i="3"/>
  <c r="J96" i="3" s="1"/>
  <c r="I97" i="3"/>
  <c r="J97" i="3" s="1"/>
  <c r="I98" i="3"/>
  <c r="J98" i="3" s="1"/>
  <c r="I99" i="3"/>
  <c r="J99" i="3" s="1"/>
  <c r="I100" i="3"/>
  <c r="J100" i="3" s="1"/>
  <c r="I101" i="3"/>
  <c r="J101" i="3" s="1"/>
  <c r="I102" i="3"/>
  <c r="J102" i="3" s="1"/>
  <c r="I103" i="3"/>
  <c r="J103" i="3" s="1"/>
  <c r="I104" i="3"/>
  <c r="J104" i="3" s="1"/>
  <c r="I105" i="3"/>
  <c r="J105" i="3" s="1"/>
  <c r="I106" i="3"/>
  <c r="J106" i="3" s="1"/>
  <c r="I107" i="3"/>
  <c r="J107" i="3" s="1"/>
  <c r="I108" i="3"/>
  <c r="J108" i="3" s="1"/>
  <c r="I109" i="3"/>
  <c r="J109" i="3" s="1"/>
  <c r="I110" i="3"/>
  <c r="J110" i="3" s="1"/>
  <c r="I111" i="3"/>
  <c r="J111" i="3" s="1"/>
  <c r="I112" i="3"/>
  <c r="J112" i="3" s="1"/>
  <c r="I113" i="3"/>
  <c r="J113" i="3" s="1"/>
  <c r="I114" i="3"/>
  <c r="J114" i="3" s="1"/>
  <c r="I115" i="3"/>
  <c r="J115" i="3" s="1"/>
  <c r="I116" i="3"/>
  <c r="J116" i="3" s="1"/>
  <c r="I117" i="3"/>
  <c r="J117" i="3" s="1"/>
  <c r="I118" i="3"/>
  <c r="J118" i="3" s="1"/>
  <c r="I119" i="3"/>
  <c r="J119" i="3" s="1"/>
  <c r="I120" i="3"/>
  <c r="J120" i="3" s="1"/>
  <c r="I121" i="3"/>
  <c r="J121" i="3" s="1"/>
  <c r="I122" i="3"/>
  <c r="J122" i="3" s="1"/>
  <c r="I123" i="3"/>
  <c r="J123" i="3" s="1"/>
  <c r="I124" i="3"/>
  <c r="J124" i="3" s="1"/>
  <c r="I125" i="3"/>
  <c r="J125" i="3" s="1"/>
  <c r="I126" i="3"/>
  <c r="J126" i="3" s="1"/>
  <c r="I127" i="3"/>
  <c r="J127" i="3" s="1"/>
  <c r="I128" i="3"/>
  <c r="J128" i="3" s="1"/>
  <c r="I129" i="3"/>
  <c r="J129" i="3" s="1"/>
  <c r="I130" i="3"/>
  <c r="J130" i="3" s="1"/>
  <c r="I131" i="3"/>
  <c r="J131" i="3" s="1"/>
  <c r="I132" i="3"/>
  <c r="J132" i="3" s="1"/>
  <c r="I133" i="3"/>
  <c r="J133" i="3" s="1"/>
  <c r="I134" i="3"/>
  <c r="J134" i="3" s="1"/>
  <c r="I2" i="3"/>
  <c r="J2" i="3" s="1"/>
  <c r="I143" i="3"/>
  <c r="I138" i="3" l="1"/>
  <c r="J138" i="3" s="1"/>
  <c r="I144" i="3"/>
  <c r="J144" i="3" s="1"/>
  <c r="J143" i="3"/>
  <c r="I146" i="3"/>
  <c r="I145" i="3"/>
  <c r="J145" i="3" s="1"/>
  <c r="I139" i="3"/>
  <c r="J139" i="3" s="1"/>
  <c r="I140" i="3" l="1"/>
  <c r="J140" i="3" s="1"/>
  <c r="I147" i="3"/>
  <c r="J146" i="3"/>
  <c r="I141" i="3" l="1"/>
  <c r="J141" i="3" s="1"/>
  <c r="J147" i="3"/>
  <c r="I148" i="3"/>
  <c r="I150" i="3" l="1"/>
  <c r="I151" i="3"/>
  <c r="J151" i="3" s="1"/>
  <c r="J148" i="3"/>
  <c r="I152" i="3" l="1"/>
  <c r="J152" i="3" s="1"/>
  <c r="J150" i="3"/>
</calcChain>
</file>

<file path=xl/sharedStrings.xml><?xml version="1.0" encoding="utf-8"?>
<sst xmlns="http://schemas.openxmlformats.org/spreadsheetml/2006/main" count="1695" uniqueCount="553">
  <si>
    <t>PRESUPUESTO SCC — APP LA DORADA-CHIRIGUANÁ (UF2)</t>
  </si>
  <si>
    <t>Contrato APP No. 001 de 2025  |  SICC v14.7 BCD-aligned  |  Generado: 5/5/2026, 10:08:25 a. m.</t>
  </si>
  <si>
    <t>TOTAL GENERAL PROYECTO</t>
  </si>
  <si>
    <t/>
  </si>
  <si>
    <t>USD</t>
  </si>
  <si>
    <t>Costo Directo</t>
  </si>
  <si>
    <t>AIU 33% sobre Obra Civil</t>
  </si>
  <si>
    <t>IVA Total</t>
  </si>
  <si>
    <t>TOTAL PROYECTO</t>
  </si>
  <si>
    <t>DESGLOSE POR COMPONENTE</t>
  </si>
  <si>
    <t>Total Suministros</t>
  </si>
  <si>
    <t>Total Obra Civil</t>
  </si>
  <si>
    <t>Total Servicios</t>
  </si>
  <si>
    <t>CONVERSIÓN MONETARIA</t>
  </si>
  <si>
    <t>TRM Risk (COP/USD)</t>
  </si>
  <si>
    <t>EUR/USD (paridad ECB)</t>
  </si>
  <si>
    <t>EUR/COP cruzada</t>
  </si>
  <si>
    <t>NOTAS</t>
  </si>
  <si>
    <t>(1) TRM Risk = techo de cobertura cambiaria. TRM real ~3,637 al 2026-05-05. Margen ~+21%.</t>
  </si>
  <si>
    <t>(2) AIU = Adm 23% + Imprevistos 5% + Utilidad 5% sobre Obra Civil.</t>
  </si>
  <si>
    <t>(3) IVA = 19% Suministros + 19% Servicios + 19% sobre 5% Utilidad de Obra.</t>
  </si>
  <si>
    <t>(4) Línea base alineada a BCD v001 SCC (Ardanuy, abril 2026) y DT-COMS-2026-007 (precios ADIF).</t>
  </si>
  <si>
    <t>CAPÍTULO</t>
  </si>
  <si>
    <t>NOMBRE</t>
  </si>
  <si>
    <t>SUMINISTROS</t>
  </si>
  <si>
    <t>OBRA CIVIL</t>
  </si>
  <si>
    <t>SERVICIOS</t>
  </si>
  <si>
    <t>COSTO DIRECTO</t>
  </si>
  <si>
    <t>AIU 33% OBRA</t>
  </si>
  <si>
    <t>IVA</t>
  </si>
  <si>
    <t>TOTAL CAP (COP)</t>
  </si>
  <si>
    <t>TOTAL CAP (USD)</t>
  </si>
  <si>
    <t>CONTROL Y SENALIZACIÓN VIRTUAL</t>
  </si>
  <si>
    <t>TELECOMUNICACIONES COLOCALIZADAS</t>
  </si>
  <si>
    <t>SISTEMAS ITS Y SEGURIDAD</t>
  </si>
  <si>
    <t>PASOS A NIVEL</t>
  </si>
  <si>
    <t>CENTRO DE CONTROL OPERACIONAL</t>
  </si>
  <si>
    <t>MATERIAL RODANTE</t>
  </si>
  <si>
    <t>TOTAL</t>
  </si>
  <si>
    <t>PROYECTO COMPLETO</t>
  </si>
  <si>
    <t>TMR</t>
  </si>
  <si>
    <t>Capítulo</t>
  </si>
  <si>
    <t>SUB CAP</t>
  </si>
  <si>
    <t>ÍTEM</t>
  </si>
  <si>
    <t>DESCRIPCIÓN</t>
  </si>
  <si>
    <t>TIPO</t>
  </si>
  <si>
    <t>UNIDAD</t>
  </si>
  <si>
    <t>CANTIDAD</t>
  </si>
  <si>
    <t>VU (COP)</t>
  </si>
  <si>
    <t>TOTAL (COP)</t>
  </si>
  <si>
    <t>TOTAL (USD)</t>
  </si>
  <si>
    <t>1. CONTROL Y SENALIZACIÓN VIRTUAL</t>
  </si>
  <si>
    <t>1.1</t>
  </si>
  <si>
    <t>1.1.100</t>
  </si>
  <si>
    <t>Servidores CTC principales</t>
  </si>
  <si>
    <t>SUMINISTRO</t>
  </si>
  <si>
    <t>UND</t>
  </si>
  <si>
    <t>1.1.101</t>
  </si>
  <si>
    <t>Servidores CTC respaldo</t>
  </si>
  <si>
    <t>1.1.102</t>
  </si>
  <si>
    <t>Workstations operadores</t>
  </si>
  <si>
    <t>1.1.103</t>
  </si>
  <si>
    <t>Software CTC virtual + Autorizaciones PTC (Interoperabilidad Procedimental)</t>
  </si>
  <si>
    <t>1.1.104</t>
  </si>
  <si>
    <t>Base de datos centralizada</t>
  </si>
  <si>
    <t>1.1.105</t>
  </si>
  <si>
    <t>Sistema redundancia</t>
  </si>
  <si>
    <t>1.1.106</t>
  </si>
  <si>
    <t>Interfaces comunicación</t>
  </si>
  <si>
    <t>1.2</t>
  </si>
  <si>
    <t>1.2.100</t>
  </si>
  <si>
    <t>Computadora PTC embarcada</t>
  </si>
  <si>
    <t>1.2.101</t>
  </si>
  <si>
    <t>Display maquinista</t>
  </si>
  <si>
    <t>1.2.102</t>
  </si>
  <si>
    <t>Sensores velocidad</t>
  </si>
  <si>
    <t>1.2.103</t>
  </si>
  <si>
    <t>Sistema GPS</t>
  </si>
  <si>
    <t>1.2.104</t>
  </si>
  <si>
    <t>Software PTC</t>
  </si>
  <si>
    <t>1.2.105</t>
  </si>
  <si>
    <t>Interfaces frenos</t>
  </si>
  <si>
    <t>1.2.106</t>
  </si>
  <si>
    <t>1.3</t>
  </si>
  <si>
    <t>1.3.100</t>
  </si>
  <si>
    <t>Controlador ENCE Zapatosa (DT-COMS-2026-007: ADIF CAC020 €356,780 + ajustes trocha 914+log−MO ≈ $2,000M COP)</t>
  </si>
  <si>
    <t>1.3.101</t>
  </si>
  <si>
    <t>Controlador ENCE García Cadena (DT-COMS-2026-007)</t>
  </si>
  <si>
    <t>1.3.102</t>
  </si>
  <si>
    <t>Controlador ENCE Barrancabermeja (Puerto) (DT-COMS-2026-007)</t>
  </si>
  <si>
    <t>1.3.103</t>
  </si>
  <si>
    <t>Controlador ENCE Puerto Berrío-Grecia (DT-COMS-2026-007)</t>
  </si>
  <si>
    <t>1.3.104</t>
  </si>
  <si>
    <t>Controlador ENCE La Dorada-México (DT-COMS-2026-007)</t>
  </si>
  <si>
    <t>1.3.105</t>
  </si>
  <si>
    <t>Sistema redundancia ENCE</t>
  </si>
  <si>
    <t>1.3.106</t>
  </si>
  <si>
    <t>Interfaces CTC-ENCE</t>
  </si>
  <si>
    <t>1.4</t>
  </si>
  <si>
    <t>1.4.100</t>
  </si>
  <si>
    <t>Desvíos motorizados CTC (DT-COMS-2026-007: ADIF VEA010 €114,320 + ajustes trocha 914+log−MO ≈ $640M COP)</t>
  </si>
  <si>
    <t>1.4.101</t>
  </si>
  <si>
    <t>Sistemas control remoto + redundancia N+1</t>
  </si>
  <si>
    <t>1.4.102</t>
  </si>
  <si>
    <t>Interfaces CTC/ENCE</t>
  </si>
  <si>
    <t>1.5</t>
  </si>
  <si>
    <t>1.5.100</t>
  </si>
  <si>
    <t>Desvíos manuales autotalonables (con comprobador integrado)</t>
  </si>
  <si>
    <t>1.5.101</t>
  </si>
  <si>
    <t>Señalización semafórica estaciones ENCE (5 estaciones × 6 señales/estación promedio)</t>
  </si>
  <si>
    <t>1.5.102</t>
  </si>
  <si>
    <t>Herramientas operación (kit completo certificado)</t>
  </si>
  <si>
    <t>2. TELECOMUNICACIONES COLOCALIZADAS</t>
  </si>
  <si>
    <t>2.1</t>
  </si>
  <si>
    <t>2.1.100</t>
  </si>
  <si>
    <t>Torres autosoportadas</t>
  </si>
  <si>
    <t>2.1.101</t>
  </si>
  <si>
    <t>Estaciones base TETRA</t>
  </si>
  <si>
    <t>2.1.102</t>
  </si>
  <si>
    <t>Antenas TETRA</t>
  </si>
  <si>
    <t>2.1.103</t>
  </si>
  <si>
    <t>Radios embarcados (30 unidades)</t>
  </si>
  <si>
    <t>2.1.104</t>
  </si>
  <si>
    <t>Radios portátiles</t>
  </si>
  <si>
    <t>2.1.105</t>
  </si>
  <si>
    <t>Sistema control centralizado</t>
  </si>
  <si>
    <t>2.1.106</t>
  </si>
  <si>
    <t>Casetas técnicas</t>
  </si>
  <si>
    <t>OBRA</t>
  </si>
  <si>
    <t>2.1.107</t>
  </si>
  <si>
    <t>Cimentaciones</t>
  </si>
  <si>
    <t>2.1.108</t>
  </si>
  <si>
    <t>Cerramiento perimetral</t>
  </si>
  <si>
    <t>2.1.109</t>
  </si>
  <si>
    <t>Vías de acceso</t>
  </si>
  <si>
    <t>2.1.110</t>
  </si>
  <si>
    <t>Sistemas de seguridad</t>
  </si>
  <si>
    <t>2.1.111</t>
  </si>
  <si>
    <t>Montaje e instalación</t>
  </si>
  <si>
    <t>2.1.112</t>
  </si>
  <si>
    <t>Configuración red</t>
  </si>
  <si>
    <t>SERVICIO</t>
  </si>
  <si>
    <t>2.1.113</t>
  </si>
  <si>
    <t>Pruebas cobertura</t>
  </si>
  <si>
    <t>2.1.114</t>
  </si>
  <si>
    <t>Capacitación</t>
  </si>
  <si>
    <t>2.1.115</t>
  </si>
  <si>
    <t>Repuestos (10%)</t>
  </si>
  <si>
    <t>2.1.116</t>
  </si>
  <si>
    <t>Bancos baterías UPS 24h sitios remotos TETRA (BCD §10.5 — química a definir vía RFQ)</t>
  </si>
  <si>
    <t>2.2</t>
  </si>
  <si>
    <t>2.2.100</t>
  </si>
  <si>
    <t>Estaciones base — red móvil broadband ferroviaria (complemento TETRA — tecnología por RFQ)</t>
  </si>
  <si>
    <t>2.2.101</t>
  </si>
  <si>
    <t>Antenas — red móvil broadband ferroviaria (complemento TETRA — tecnología por RFQ)</t>
  </si>
  <si>
    <t>2.2.102</t>
  </si>
  <si>
    <t>Radios embarcados — red móvil broadband ferroviaria (complemento TETRA — tecnología por RFQ)</t>
  </si>
  <si>
    <t>2.2.103</t>
  </si>
  <si>
    <t>Sistema control — red móvil broadband ferroviaria (complemento TETRA)</t>
  </si>
  <si>
    <t>2.2.104</t>
  </si>
  <si>
    <t>Interfaces TETRA — red móvil broadband ferroviaria</t>
  </si>
  <si>
    <t>2.2.105</t>
  </si>
  <si>
    <t>2.2.106</t>
  </si>
  <si>
    <t>Configuración dual</t>
  </si>
  <si>
    <t>2.2.107</t>
  </si>
  <si>
    <t>Pruebas integración</t>
  </si>
  <si>
    <t>2.2.108</t>
  </si>
  <si>
    <t>2.4</t>
  </si>
  <si>
    <t>2.3.100</t>
  </si>
  <si>
    <t>Cable fibra óptica monomodo 48 hilos G.652.D OSP (BCD §6.1.1 — solución homogénea 526km + 10% gasa técnica)</t>
  </si>
  <si>
    <t>KM</t>
  </si>
  <si>
    <t>2.3.101</t>
  </si>
  <si>
    <t>Mano de obra instalación (Tendido 526km + 10% Gasa Técnica)</t>
  </si>
  <si>
    <t>2.3.102</t>
  </si>
  <si>
    <t>Tritubo 40mm</t>
  </si>
  <si>
    <t>ROLLO</t>
  </si>
  <si>
    <t>2.3.103</t>
  </si>
  <si>
    <t>Cajas empalme 80x80</t>
  </si>
  <si>
    <t>2.3.104</t>
  </si>
  <si>
    <t>Uniones rápidas</t>
  </si>
  <si>
    <t>2.3.105</t>
  </si>
  <si>
    <t>Fusionadoras</t>
  </si>
  <si>
    <t>2.3.106</t>
  </si>
  <si>
    <t>OTDR triwavelength (1310/1550/1625 nm)</t>
  </si>
  <si>
    <t>2.3.107</t>
  </si>
  <si>
    <t>Muflas fusionado</t>
  </si>
  <si>
    <t>2.3.108</t>
  </si>
  <si>
    <t>Insumos fusionado</t>
  </si>
  <si>
    <t>2.3.109</t>
  </si>
  <si>
    <t>Repuestos Estratégicos (Stock 3% Corredor)</t>
  </si>
  <si>
    <t>2.4.100</t>
  </si>
  <si>
    <t>Habilitación Satelital Transitoria (Punto 42) — 5 terminales LEO + 12 meses suscripción (DT-SICC-2026-042, cadena 9.12→25.4)</t>
  </si>
  <si>
    <t>GLB</t>
  </si>
  <si>
    <t>3. SISTEMAS ITS Y SEGURIDAD</t>
  </si>
  <si>
    <t>3.1</t>
  </si>
  <si>
    <t>3.1.100</t>
  </si>
  <si>
    <t>Cámaras PAN PTZ 4MP (73 unidades - cobertura completa)</t>
  </si>
  <si>
    <t>3.1.101</t>
  </si>
  <si>
    <t>Cámaras talleres (12 unidades)</t>
  </si>
  <si>
    <t>3.1.102</t>
  </si>
  <si>
    <t>Cámaras CCO (8 unidades)</t>
  </si>
  <si>
    <t>3.1.103</t>
  </si>
  <si>
    <t>Cámaras estaciones (5 unidades)</t>
  </si>
  <si>
    <t>3.1.104</t>
  </si>
  <si>
    <t>Sistema grabación</t>
  </si>
  <si>
    <t>3.1.105</t>
  </si>
  <si>
    <t>Servidores almacenamiento</t>
  </si>
  <si>
    <t>3.1.106</t>
  </si>
  <si>
    <t>Software análisis</t>
  </si>
  <si>
    <t>3.1.107</t>
  </si>
  <si>
    <t>Monitores CCO</t>
  </si>
  <si>
    <t>3.1.108</t>
  </si>
  <si>
    <t>Instalación y configuración</t>
  </si>
  <si>
    <t>3.1.109</t>
  </si>
  <si>
    <t>3.2</t>
  </si>
  <si>
    <t>3.2.100</t>
  </si>
  <si>
    <t>Lectores RFID control accesos (ISO 14443, IP65/IK10)</t>
  </si>
  <si>
    <t>3.2.101</t>
  </si>
  <si>
    <t>Tarjetas RFID</t>
  </si>
  <si>
    <t>3.2.102</t>
  </si>
  <si>
    <t>Sistema biométrico</t>
  </si>
  <si>
    <t>3.2.103</t>
  </si>
  <si>
    <t>Software control accesos</t>
  </si>
  <si>
    <t>3.2.104</t>
  </si>
  <si>
    <t>Cerraduras electrónicas</t>
  </si>
  <si>
    <t>3.2.105</t>
  </si>
  <si>
    <t>Intercomunicadores</t>
  </si>
  <si>
    <t>3.2.106</t>
  </si>
  <si>
    <t>3.2.107</t>
  </si>
  <si>
    <t>3.3</t>
  </si>
  <si>
    <t>3.3.100</t>
  </si>
  <si>
    <t>Detectores humo</t>
  </si>
  <si>
    <t>3.3.101</t>
  </si>
  <si>
    <t>Detectores temperatura</t>
  </si>
  <si>
    <t>3.3.102</t>
  </si>
  <si>
    <t>Sistema aspersores</t>
  </si>
  <si>
    <t>3.3.103</t>
  </si>
  <si>
    <t>Extintores</t>
  </si>
  <si>
    <t>3.3.104</t>
  </si>
  <si>
    <t>Sistema alarma</t>
  </si>
  <si>
    <t>3.3.105</t>
  </si>
  <si>
    <t>Botones emergencia</t>
  </si>
  <si>
    <t>3.3.106</t>
  </si>
  <si>
    <t>Instalación</t>
  </si>
  <si>
    <t>3.3.107</t>
  </si>
  <si>
    <t>4. PASOS A NIVEL</t>
  </si>
  <si>
    <t>4.1</t>
  </si>
  <si>
    <t>4.1.100</t>
  </si>
  <si>
    <t>Sistemas barreras automáticas SIL-3 vital (FRA Part 236 Subpart I)</t>
  </si>
  <si>
    <t>4.1.101</t>
  </si>
  <si>
    <t>Senalización LED (Res. 20243040045005)</t>
  </si>
  <si>
    <t>4.1.102</t>
  </si>
  <si>
    <t>Sistemas detección vehículos SIL-3 vital (FRA Part 236 Subpart I)</t>
  </si>
  <si>
    <t>4.1.103</t>
  </si>
  <si>
    <t>Sistemas comunicación</t>
  </si>
  <si>
    <t>4.1.104</t>
  </si>
  <si>
    <t>Sistemas emergencia SIL-3 vital (FRA Part 236 Subpart I)</t>
  </si>
  <si>
    <t>4.1.105</t>
  </si>
  <si>
    <t>4.1.106</t>
  </si>
  <si>
    <t>4.2</t>
  </si>
  <si>
    <t>4.2.100</t>
  </si>
  <si>
    <t>Señales Luminosas y Acústicas (SLA) — PaN Tipo B (BCD §8.2.1, NTC 4741:1999). VU pendiente RFQ COL.</t>
  </si>
  <si>
    <t>4.2.101</t>
  </si>
  <si>
    <t>Senalización basica (Res. 20243040045005)</t>
  </si>
  <si>
    <t>4.2.102</t>
  </si>
  <si>
    <t>Sistemas detección</t>
  </si>
  <si>
    <t>4.2.103</t>
  </si>
  <si>
    <t>4.2.104</t>
  </si>
  <si>
    <t>4.2.105</t>
  </si>
  <si>
    <t>4.3</t>
  </si>
  <si>
    <t>4.3.100</t>
  </si>
  <si>
    <t>Senalización basica (Manual 2024 / Res. 20243040045005)</t>
  </si>
  <si>
    <t>4.3.103</t>
  </si>
  <si>
    <t>5. CENTRO DE CONTROL OPERACIONAL</t>
  </si>
  <si>
    <t>5.1</t>
  </si>
  <si>
    <t>5.1.100</t>
  </si>
  <si>
    <t>Construcción edificio</t>
  </si>
  <si>
    <t>5.1.101</t>
  </si>
  <si>
    <t>Sala de control</t>
  </si>
  <si>
    <t>5.1.102</t>
  </si>
  <si>
    <t>Sistemas HVAC</t>
  </si>
  <si>
    <t>5.1.103</t>
  </si>
  <si>
    <t>Sistemas eléctricos</t>
  </si>
  <si>
    <t>5.1.104</t>
  </si>
  <si>
    <t>Sistemas seguridad</t>
  </si>
  <si>
    <t>5.1.105</t>
  </si>
  <si>
    <t>Sistemas comunicaciones</t>
  </si>
  <si>
    <t>5.2</t>
  </si>
  <si>
    <t>5.2.100</t>
  </si>
  <si>
    <t>Consolas operadores</t>
  </si>
  <si>
    <t>5.2.101</t>
  </si>
  <si>
    <t>Pantallas de video</t>
  </si>
  <si>
    <t>5.2.102</t>
  </si>
  <si>
    <t>Sistema audio</t>
  </si>
  <si>
    <t>5.2.103</t>
  </si>
  <si>
    <t>Sistema iluminación</t>
  </si>
  <si>
    <t>5.2.104</t>
  </si>
  <si>
    <t>Muebles y accesorios</t>
  </si>
  <si>
    <t>5.3</t>
  </si>
  <si>
    <t>5.3.100</t>
  </si>
  <si>
    <t>Servidores SCADA</t>
  </si>
  <si>
    <t>5.3.101</t>
  </si>
  <si>
    <t>Software SCADA</t>
  </si>
  <si>
    <t>5.3.102</t>
  </si>
  <si>
    <t>Base de datos</t>
  </si>
  <si>
    <t>5.3.103</t>
  </si>
  <si>
    <t>5.3.104</t>
  </si>
  <si>
    <t>5.3.105</t>
  </si>
  <si>
    <t>Configuración</t>
  </si>
  <si>
    <t>6. MATERIAL RODANTE</t>
  </si>
  <si>
    <t>6.1</t>
  </si>
  <si>
    <t>6.1.100</t>
  </si>
  <si>
    <t>Sistemas PTC embarcados</t>
  </si>
  <si>
    <t>6.1.101</t>
  </si>
  <si>
    <t>Radios TETRA embarcados</t>
  </si>
  <si>
    <t>6.1.102</t>
  </si>
  <si>
    <t>Radios embarcados — red móvil broadband ferroviaria (complemento TETRA)</t>
  </si>
  <si>
    <t>6.1.103</t>
  </si>
  <si>
    <t>Sistemas GPS</t>
  </si>
  <si>
    <t>6.1.104</t>
  </si>
  <si>
    <t>Sistemas redundancia</t>
  </si>
  <si>
    <t>6.1.105</t>
  </si>
  <si>
    <t>6.1.106</t>
  </si>
  <si>
    <t>6.2</t>
  </si>
  <si>
    <t>6.2.100</t>
  </si>
  <si>
    <t>Dispositivos EOT completos</t>
  </si>
  <si>
    <t>6.2.101</t>
  </si>
  <si>
    <t>Repuestos EOT (10%)</t>
  </si>
  <si>
    <t>6.2.102</t>
  </si>
  <si>
    <t>Instalación EOT</t>
  </si>
  <si>
    <t>6.2.103</t>
  </si>
  <si>
    <t>Configuración EOT</t>
  </si>
  <si>
    <t>CONCEPTO</t>
  </si>
  <si>
    <t>VALOR (COP)</t>
  </si>
  <si>
    <t>VALOR (USD)</t>
  </si>
  <si>
    <t>SUBTOTAL SUMINISTROS</t>
  </si>
  <si>
    <t>SUBTOTAL SERVICIOS</t>
  </si>
  <si>
    <t>IVA 19% (Sum+Serv)</t>
  </si>
  <si>
    <t>TOTAL c/IVA (Sum+Serv)</t>
  </si>
  <si>
    <t>SUBTOTAL OBRA CIVIL</t>
  </si>
  <si>
    <t>Administración (23%)</t>
  </si>
  <si>
    <t>Imprevistos (5%)</t>
  </si>
  <si>
    <t>Utilidad (5%)</t>
  </si>
  <si>
    <t>IVA 19% (s/Util)</t>
  </si>
  <si>
    <t>AIU TOTAL</t>
  </si>
  <si>
    <t>Suministros + Servicios Total</t>
  </si>
  <si>
    <t>Obra Civil Total (con AIU)</t>
  </si>
  <si>
    <t>TOTAL GENERAL DEL PROYECTO</t>
  </si>
  <si>
    <t>TRM aplicada</t>
  </si>
  <si>
    <t>Fecha generación</t>
  </si>
  <si>
    <t>2026-05-05</t>
  </si>
  <si>
    <t>ACTA DE OBRA — OBRA CIVIL VS COMPRAS VS SERVICIOS</t>
  </si>
  <si>
    <t>Clasificación por tipo. AIU 33% aplica solo sobre Obra Civil. IVA 19% aplica a Suministros, Servicios y Utilidad de Obra.</t>
  </si>
  <si>
    <t>CANT</t>
  </si>
  <si>
    <t>&gt;&gt;&gt; SUBTOTAL SUMINISTRO</t>
  </si>
  <si>
    <t>&gt;&gt;&gt; SUBTOTAL OBRA</t>
  </si>
  <si>
    <t>&gt;&gt;&gt; SUBTOTAL SERVICIO</t>
  </si>
  <si>
    <t>&gt;&gt;&gt; Costo Directo (CD)</t>
  </si>
  <si>
    <t>AIU sobre Obra Civil (33%)</t>
  </si>
  <si>
    <t>TOTAL PROYECTO (COP)</t>
  </si>
  <si>
    <t>DESGLOSE AIU + IVA POR CAPÍTULO</t>
  </si>
  <si>
    <t>AIU 33% = Adm 23% + Imp 5% + Util 5% (todo sobre Obra Civil) · IVA = 19% Sum + 19% Serv + 19% × 5% Util Obra</t>
  </si>
  <si>
    <t>CAP</t>
  </si>
  <si>
    <t>CD</t>
  </si>
  <si>
    <t>Adm 23%</t>
  </si>
  <si>
    <t>Imp 5%</t>
  </si>
  <si>
    <t>Util 5%</t>
  </si>
  <si>
    <t>AIU Total</t>
  </si>
  <si>
    <t>IVA Sum</t>
  </si>
  <si>
    <t>IVA Serv</t>
  </si>
  <si>
    <t>IVA Util</t>
  </si>
  <si>
    <t>TOTAL CAP</t>
  </si>
  <si>
    <t>PENDIENTES RFQ — Para Compras / Integradora (ART, Hitachi, etc.)</t>
  </si>
  <si>
    <t>Cotizaciones formales pendientes. Documentación: DT-COMS-2026-007 + precios_Adif_COMPLETO.md §4.</t>
  </si>
  <si>
    <t>ÍTEM WBS</t>
  </si>
  <si>
    <t>VU ACTUAL</t>
  </si>
  <si>
    <t>FUENTE</t>
  </si>
  <si>
    <t>ESTADO</t>
  </si>
  <si>
    <t>PROVEEDORES PRIORIZADOS</t>
  </si>
  <si>
    <t>1.3.100-104</t>
  </si>
  <si>
    <t>Controlador ENCE (5 estaciones)</t>
  </si>
  <si>
    <t>$2,000M COP/u</t>
  </si>
  <si>
    <t>ADIF CAC020 + ajustes</t>
  </si>
  <si>
    <t>Ratificación</t>
  </si>
  <si>
    <t>Hima Colombia, Siemens Mobility Bogotá, Alstom regional, Bombardier</t>
  </si>
  <si>
    <t>Desvío motorizado (25u)</t>
  </si>
  <si>
    <t>$640M COP/u</t>
  </si>
  <si>
    <t>ADIF VEA010 + ajustes</t>
  </si>
  <si>
    <t>Hima, Vossloh COL, Voestalpine, Schwihag</t>
  </si>
  <si>
    <t>Sistema control remoto + redundancia N+1</t>
  </si>
  <si>
    <t>$134.6M COP/u</t>
  </si>
  <si>
    <t>ADIF CBB010 + buffer N+1</t>
  </si>
  <si>
    <t>Siemens SICAS, Hima, Alstom</t>
  </si>
  <si>
    <t>Señal luminosa LED</t>
  </si>
  <si>
    <t>$80M COP/u</t>
  </si>
  <si>
    <t>ADIF CCA040 + buffer</t>
  </si>
  <si>
    <t>Aldridge, Siemens, Hitachi, GE Transportation</t>
  </si>
  <si>
    <t>Cable F.O. monomodo 48 hilos G.652.D OSP</t>
  </si>
  <si>
    <t>$9.81M COP/km × 579 km</t>
  </si>
  <si>
    <t>Mercado COL/LATAM</t>
  </si>
  <si>
    <t>RFQ urgente</t>
  </si>
  <si>
    <t>Furukawa Brasil, Corning LATAM, Prysmian Latam, OFS</t>
  </si>
  <si>
    <t>Comp 1.3</t>
  </si>
  <si>
    <t>Contador de ejes (Wayside ENCE)</t>
  </si>
  <si>
    <t>~$4,720 USD/u (Conceptual LFC)</t>
  </si>
  <si>
    <t>Sin ADIF</t>
  </si>
  <si>
    <t>Frauscher, Siemens, Thales, Voestalpine</t>
  </si>
  <si>
    <t>4.1.x</t>
  </si>
  <si>
    <t>Armario PTC en PaN (Tipo C, SIL-3 vital)</t>
  </si>
  <si>
    <t>~$140k USD/u (Conceptual LFC)</t>
  </si>
  <si>
    <t>Hima HiMax, Siemens SICAS, Bombardier EBI Gate 200</t>
  </si>
  <si>
    <t>Cap 10</t>
  </si>
  <si>
    <t>UPS 4h (signal) / 24-48h (TETRA)</t>
  </si>
  <si>
    <t>Pendiente</t>
  </si>
  <si>
    <t>BCD §10.1-10.5</t>
  </si>
  <si>
    <t>Eaton, APC by Schneider, Riello, Hoppecke COL (LiFePO4)</t>
  </si>
  <si>
    <t>Sesión: 2026-05-05 · BCD v001 (Ardanuy abril 2026) como SSoT técnica</t>
  </si>
  <si>
    <t>COBERTURA</t>
  </si>
  <si>
    <t>OBSERVACIONES</t>
  </si>
  <si>
    <t>BCD_SCC_v001_2026-04 (Ardanuy)</t>
  </si>
  <si>
    <t>Contractual</t>
  </si>
  <si>
    <t>Bases, parámetros y criterios de diseño SCC</t>
  </si>
  <si>
    <t>Contrato APP No. 001/2025 + AT1 + AT3</t>
  </si>
  <si>
    <t>Marco legal y especificaciones</t>
  </si>
  <si>
    <t>DT-COMS-2026-007 Línea Base ADIF v1</t>
  </si>
  <si>
    <t>Interna SICC</t>
  </si>
  <si>
    <t>Precios ENCE, desvíos, señales LED</t>
  </si>
  <si>
    <t>DT-CTRL-2026-006 Flota tractiva</t>
  </si>
  <si>
    <t>Cap 1.2 PTC embarcado 15 unidades</t>
  </si>
  <si>
    <t>BPA ADIF 2026</t>
  </si>
  <si>
    <t>Externo (España)</t>
  </si>
  <si>
    <t>Referencia europea (no contractual)</t>
  </si>
  <si>
    <t>Conceptual LFC</t>
  </si>
  <si>
    <t>Interna</t>
  </si>
  <si>
    <t>Referencias USD por equipo</t>
  </si>
  <si>
    <t>Mercado COL/LATAM (estimación)</t>
  </si>
  <si>
    <t>Externo</t>
  </si>
  <si>
    <t>F.O. G.652.D 48h, baterías LiFePO4</t>
  </si>
  <si>
    <t>TRM Risk</t>
  </si>
  <si>
    <t>COP/USD</t>
  </si>
  <si>
    <t>Techo cobertura. Margen ~+21% vs TRM real ~3,637.</t>
  </si>
  <si>
    <t>EUR/USD</t>
  </si>
  <si>
    <t>—</t>
  </si>
  <si>
    <t>Paridad ECB.</t>
  </si>
  <si>
    <t>COP/EUR</t>
  </si>
  <si>
    <t>TRM × 1.09.</t>
  </si>
  <si>
    <t>FACTORES AJUSTE SOBERANÍA TÉCNICA (ADIF → LFC2)</t>
  </si>
  <si>
    <t>+15-25%</t>
  </si>
  <si>
    <t>Trocha 914mm</t>
  </si>
  <si>
    <t>Baja serie, fabricación de adaptación</t>
  </si>
  <si>
    <t>+12%</t>
  </si>
  <si>
    <t>Logística e importación</t>
  </si>
  <si>
    <t>Fletes, seguros, nacionalización</t>
  </si>
  <si>
    <t>-10%</t>
  </si>
  <si>
    <t>Mano de obra local COL</t>
  </si>
  <si>
    <t>Crédito por menor costo de instalación</t>
  </si>
  <si>
    <t>USD @ TRM real 3,637</t>
  </si>
  <si>
    <t>EXPOSICIÓN CAMBIARIA</t>
  </si>
  <si>
    <t>TRM Risk 4,400 incorpora margen ~+21% vs TRM real 3,637. La columna USD@3,637 muestra el equivalente sin colchón.</t>
  </si>
  <si>
    <t>Comparativo Ardanuy CAPEX: $66.4M USD @ TRM ~3,800 (consultor de diseño).</t>
  </si>
  <si>
    <t>Bancos baterías UPS 24h sitios remotos TETRA (química a definir vía RFQ)</t>
  </si>
  <si>
    <t>$50M COP/u × 37 sitios = $1.85B</t>
  </si>
  <si>
    <t>Estimación interna — sin RFQ</t>
  </si>
  <si>
    <t>Hoppecke COL, Saft, EnerSys, BYD</t>
  </si>
  <si>
    <t>RESUMEN GERENCIAL CAPEX UF2</t>
  </si>
  <si>
    <t>Corredor Férreo La Dorada – Chiriguaná | Contrato APP Nº 001 de 2025 | Apéndice Técnico 1 — Tabla 17</t>
  </si>
  <si>
    <t>Cifras condicionadas a la aprobación de los criterios de diseño (4 reglas Tabla 17 AT1). Fuente: UF2_Control_CAPEX_Ardanuy_Reunión.pptx</t>
  </si>
  <si>
    <t>TRES LÍNEAS DE PRESUPUESTO</t>
  </si>
  <si>
    <t>Concepto</t>
  </si>
  <si>
    <t>COP (millones)</t>
  </si>
  <si>
    <t>USD @ TRM 4.400</t>
  </si>
  <si>
    <t>USD @ TRM real 3.637</t>
  </si>
  <si>
    <t>Δ vs Oferta</t>
  </si>
  <si>
    <t>OFERTA APP 001/2025 (precio de venta)</t>
  </si>
  <si>
    <t>Línea de referencia</t>
  </si>
  <si>
    <t>Presupuesto Grupo Ortiz — LFC v14.7 (línea base actual)</t>
  </si>
  <si>
    <t>Referencia Ardanuy v1 (consultor de diseño)</t>
  </si>
  <si>
    <t>VEREDICTO PARA DIRECCIÓN</t>
  </si>
  <si>
    <t>El presupuesto Grupo Ortiz se sitúa 14,57 M USD por debajo del precio de venta. Margen comercial del 20% preservado. La referencia Ardanuy independiente apunta en el mismo sentido (-16,33 M USD vs oferta), validando el orden de magnitud de la línea base.</t>
  </si>
  <si>
    <t>ESCENARIOS DE EJECUCIÓN</t>
  </si>
  <si>
    <t>Escenario</t>
  </si>
  <si>
    <t>Margen vs Oferta</t>
  </si>
  <si>
    <t>Condición de cierre</t>
  </si>
  <si>
    <t>Caso optimista</t>
  </si>
  <si>
    <t>59 M</t>
  </si>
  <si>
    <t>Las 4 reglas de Tabla 17 aprobadas</t>
  </si>
  <si>
    <t>Caso esperado (línea base actual)</t>
  </si>
  <si>
    <t>59-71 M</t>
  </si>
  <si>
    <t>+4% a +20%</t>
  </si>
  <si>
    <t>Línea base SICC v14.7 aplicada</t>
  </si>
  <si>
    <t>Caso pesimista</t>
  </si>
  <si>
    <t>80-110 M</t>
  </si>
  <si>
    <t>-49% a -9% sobre oferta</t>
  </si>
  <si>
    <t>Sin alineación con las 4 reglas</t>
  </si>
  <si>
    <t>LAS 4 REGLAS DE TABLA 17 AT1 — IMPACTO FINANCIERO</t>
  </si>
  <si>
    <t>Nº</t>
  </si>
  <si>
    <t>Regla</t>
  </si>
  <si>
    <t>Impacto financiero</t>
  </si>
  <si>
    <t>Stop &amp; Switch FENOCO (interfaz operativa, sin pasarela ITCS)</t>
  </si>
  <si>
    <t>Blindaje legal — evita escalada de alcance</t>
  </si>
  <si>
    <t>Únicamente 5 ENCEs (Tabla 17 AT1)</t>
  </si>
  <si>
    <t>Cada ENCE adicional: +0,8 M USD</t>
  </si>
  <si>
    <t>PTC 100% virtual (sin hardware lateral en vía)</t>
  </si>
  <si>
    <t>Ahorro: -15 M USD</t>
  </si>
  <si>
    <t>Redimensionamiento eléctrico y de fibra óptica</t>
  </si>
  <si>
    <t>Ahorro: -5 a -10 M USD</t>
  </si>
  <si>
    <t>Ahorro objetivo total aplicando las 4 reglas:</t>
  </si>
  <si>
    <t>-20 a -25 M USD</t>
  </si>
  <si>
    <t>PRESUPUESTO ESTIMADO — SUJETO A NO-OBJECIÓN DE INTERVENTORÍA</t>
  </si>
  <si>
    <t>(1) TRM Risk 4.400 = techo de cobertura cambiaria. TRM real aproximada 3.637 a 5/5/2026 (margen +21%).</t>
  </si>
  <si>
    <t>(2) Oferta: fichero Costo_proyecto.xlsx (versión ajustada 8-oct-2025), celda I144 = 324.107 M COP. Composición: Suministros + Servicios con IVA 244.585 M + Obra Civil con AIU 33% 79.522 M.</t>
  </si>
  <si>
    <t>(3) Línea base Grupo Ortiz: este fichero, hoja «1.Total General», celda C8 = 260.009 M COP. Trazabilidad: 135 ítems en hoja «3.Detalle Ítems».</t>
  </si>
  <si>
    <t>(4) Referencia Ardanuy: fichero LFC-U2-CTSC-ED-QTO-CO-0001 del consultor de diseño. CAPEX puro 66,4 M USD a TRM 3.800.</t>
  </si>
  <si>
    <t>(5) Para detalle por capítulo véase hoja «2.Por Capítulo». Para clasificación SUMINISTRO/OBRA/SERVICIO véase hoja «4.Obra vs Compras». Para cuestiones pendientes de RFQ véase hoja «6.Pendientes RFQ».</t>
  </si>
  <si>
    <t>+20%</t>
  </si>
  <si>
    <t>% vs Oferta</t>
  </si>
  <si>
    <t>ANÁLISIS COMPARATIVO — ARDANUY v1 vs LFC v14.7</t>
  </si>
  <si>
    <t>Cifras en M COP. Normalizadas a misma TRM. Fuente Ardanuy: fichero LFC-U2-CTSC-ED-QTO-CO-0001 del consultor de diseño.</t>
  </si>
  <si>
    <t>SUBESTIMACIONES (LFC &lt; Ardanuy)</t>
  </si>
  <si>
    <t>LFC v14.7 (M COP)</t>
  </si>
  <si>
    <t>Ardanuy (M COP)</t>
  </si>
  <si>
    <t>Δ (M COP)</t>
  </si>
  <si>
    <t>Obra civil fibra óptica</t>
  </si>
  <si>
    <t>Diseño Fase III</t>
  </si>
  <si>
    <t>ENCE (5 unidades)</t>
  </si>
  <si>
    <t>Torres TETRA</t>
  </si>
  <si>
    <t>SUBTOTAL SUBESTIMADO</t>
  </si>
  <si>
    <t>SOBREESTIMACIONES (LFC &gt; Ardanuy)</t>
  </si>
  <si>
    <t>PaN equipos básicos</t>
  </si>
  <si>
    <t>CCO software/hardware</t>
  </si>
  <si>
    <t>Material Rodante OBU</t>
  </si>
  <si>
    <t>Desvíos motorizados/talonables</t>
  </si>
  <si>
    <t>SUBTOTAL SOBREESTIMADO</t>
  </si>
  <si>
    <t>NETO</t>
  </si>
  <si>
    <t>LFC v14.7 subestima respecto a Ardanuy</t>
  </si>
  <si>
    <t>Equivalente USD @ TRM 4.400: −9,3 M USD</t>
  </si>
  <si>
    <t>LECTURA Y ACCIÓN PENDIENTE</t>
  </si>
  <si>
    <t>Ambos presupuestos quedan por debajo de la oferta de venta (324.107 M COP). El neto subestimado de LFC se compensa internamente con sus sobreestimaciones — el orden de magnitud total (260.010 M COP) es coherente con Ardanuy (252.251 M COP).</t>
  </si>
  <si>
    <t>Acción pendiente — DT-COMS-008 (propuesta):</t>
  </si>
  <si>
    <t>(1) Subir partidas subestimadas (FO obra civil, Diseño Fase III, ENCE, Torres TETRA).
(2) Bajar partidas sobreestimadas (PaN básicos fuera de BCD §8.2, MR OBU, desvíos).
(3) Operación neutral en COP totales — mejora trazabilidad capítulo a capítulo respecto a la referencia Ardanuy.</t>
  </si>
  <si>
    <t>Bases de Diseño del Sistema de Comunicación, Control de Tráfico y Señalización (SCC) versión 001 elaboradas por Ardanuy en abril de 2026. Documento de referencia para alcances técnicos: ancho de vía 914 mm, fibra óptica monomodo G.652.D con 48 hilos, 24 pasos a nivel (9 protegidos con barrera automática tipo C y 15 con sistema de luces y alarma tipo B), 5 enclavamientos físicos en las ubicaciones definidas en el Apéndice Técnico 1 del contrato, Tabla 17.</t>
  </si>
  <si>
    <t>Marco contractual y especificaciones técnicas obligatorias del proyecto. Establece la jerarquía documental aplicable: el Contrato prevalece sobre el Apéndice Técnico 1, éste sobre el Apéndice Técnico 3, y éste sobre las Bases de Diseño. Para conflictos entre normas técnicas internacionales aplica la prelación AREMA (norma americana) sobre la europea CENELEC.</t>
  </si>
  <si>
    <t>Se aplicó la línea base ADIF en dos partidas con cifras firmes: enclavamiento ENCE a 2.000 M COP por unidad (referencia ADIF código CAC020) y desvíos motorizados a 640 M COP por unidad (referencia ADIF código VEA010). Tarea pendiente: cotizar el resto de partidas mediante solicitud formal a proveedores (RFQ). El listado priorizado de partidas pendientes está documentado en la Hoja 6 — Pendientes RFQ.</t>
  </si>
  <si>
    <t>Cantidad de equipos PTC embarcados definida en 15 locomotoras: 1 unidad tipo U18 obligatoria según el Apéndice Técnico 1 del contrato, sección 5; más 14 unidades adicionales aportadas por la concesionaria como factor de calidad del proyecto, no exigidas contractualmente.</t>
  </si>
  <si>
    <t>Banco de Precios ADIF 2026 (Administración española de infraestructuras ferroviarias). Aporta referencias de precios para cuatro categorías relevantes al proyecto: enclavamientos (código CAC020), desvíos motorizados (código VEA010), motores de cambiavía (código CBB010) y señales luminosas (código CCA040). Tarea pendiente: aplicar factor de ajuste por diferencia de ancho de vía — ADIF utiliza trocha 1.435 mm en sus precios referenciales y el corredor LFC opera con trocha 914 mm. Los factores de ajuste aplicables están documentados en esta misma hoja, sección "Factores Ajuste Soberanía Técnica".</t>
  </si>
  <si>
    <t>Referencias internas de precios en USD por equipo unitario: enclavamiento 869.000 USD, motor de cambiavía 18.600 USD, señal luminosa LED 11.800 USD, armario PTC para paso a nivel 140.000 USD, torre del sistema de radio TETRA 73.100 USD. Estas cifras se utilizan como contraste cruzado contra el Banco de Precios ADIF y contra la cotización del consultor de diseño Ardanuy.</t>
  </si>
  <si>
    <t>Estimaciones de mercado nacional colombiano y latinoamericano para fibra óptica tipo G.652.D de 48 hilos y bancos de baterías de litio-ferrofosfato (LiFePO4). No constituye referencia contractualmente vinculante. Tarea pendiente: emitir solicitudes de cotización (RFQ) a proveedores y sustituir estas estimaciones por cotizaciones firmes. El listado priorizado se encuentra en la Hoja 6 — Pendientes RFQ.</t>
  </si>
  <si>
    <t>FUENTES Y NOTAS — PRESUPUESTO SCC v14.7 (BCD)</t>
  </si>
  <si>
    <t>ACCIONES INMEDIATAS — HORIZONTE 1 (esta semana)</t>
  </si>
  <si>
    <t>(1) Sacar los 122 PaN básicos del Cap 4.3 del alcance SCC (decisión de alcance según BCD §8.2). Libera aproximadamente 15.694 M COP de sobreestimación. Responsable: Diego. Plazo: inmediato.</t>
  </si>
  <si>
    <t>(2) Recalcular desvíos motorizados con base ADIF código VEA010 más factor de ajuste por soberanía técnica (trocha 914 mm). El precio actual LFC está 5x sobre Ardanuy. Libera aproximadamente 25.000 M COP. Responsable: Equipo Señalización. Plazo: 3 días.</t>
  </si>
  <si>
    <t>(3) Cotizar obra civil de fibra óptica con constructor local (526 km de zanja, monotubo, restauración y atravesamientos). Validar si la cifra Ardanuy (122.894 M COP) incluye permisos prediales. Cubre la subestimación principal de 70.675 M COP. Responsable: Director Obras Civiles + Diego. Plazo: 1 semana.</t>
  </si>
  <si>
    <t>Detalle completo de acciones y responsables: documento DT-COMS-2026-008  (Ardanuy + LFC + Ortiz).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</si>
</sst>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 #,##0.00_-;\-&quot;$&quot;\ * #,##0.00_-;_-&quot;$&quot;\ * &quot;-&quot;??_-;_-@_-"/>
    <numFmt numFmtId="170" formatCode="&quot;$&quot;#,##0"/>
    <numFmt numFmtId="171" formatCode="&quot;$&quot;#,##0;[Red]\-&quot;$&quot;#,##0"/>
    <numFmt numFmtId="172" formatCode="0.0%;[Red]\-0.0%"/>
  </numFmts>
  <fonts count="29" x14ac:knownFonts="1">
    <font>
      <sz val="12"/>
      <color theme="1"/>
      <name val="Calibri"/>
      <family val="2"/>
      <scheme val="minor"/>
    </font>
    <font>
      <sz val="12"/>
      <color theme="1"/>
      <name val="Calibri"/>
      <family val="2"/>
      <scheme val="minor"/>
    </font>
    <font>
      <sz val="12"/>
      <color theme="1"/>
      <name val="Calibri"/>
      <scheme val="minor"/>
    </font>
    <font>
      <b/>
      <sz val="11"/>
      <color rgb="FF000000"/>
      <name val="Arial"/>
    </font>
    <font>
      <b/>
      <sz val="12"/>
      <color rgb="FF000000"/>
      <name val="Arial"/>
    </font>
    <font>
      <b/>
      <i/>
      <sz val="12"/>
      <color rgb="FF000000"/>
      <name val="Arial"/>
    </font>
    <font>
      <sz val="11"/>
      <color rgb="FF000000"/>
      <name val="Arial"/>
    </font>
    <font>
      <i/>
      <sz val="9"/>
      <color rgb="FF595959"/>
      <name val="Arial"/>
    </font>
    <font>
      <i/>
      <sz val="11"/>
      <color rgb="FF595959"/>
      <name val="Arial"/>
    </font>
    <font>
      <i/>
      <sz val="11"/>
      <color rgb="FF000000"/>
      <name val="Arial"/>
    </font>
    <font>
      <b/>
      <i/>
      <sz val="11"/>
      <color rgb="FF595959"/>
      <name val="Arial"/>
    </font>
    <font>
      <b/>
      <sz val="14"/>
      <color rgb="FF000000"/>
      <name val="Arial"/>
    </font>
    <font>
      <b/>
      <sz val="11"/>
      <color rgb="FFC00000"/>
      <name val="Arial"/>
    </font>
    <font>
      <b/>
      <i/>
      <sz val="9"/>
      <color rgb="FF595959"/>
      <name val="Arial"/>
    </font>
    <font>
      <sz val="11"/>
      <color rgb="FF000000"/>
      <name val="Arial"/>
      <family val="2"/>
    </font>
    <font>
      <b/>
      <sz val="11"/>
      <color rgb="FF000000"/>
      <name val="Arial"/>
      <family val="2"/>
    </font>
    <font>
      <b/>
      <sz val="12"/>
      <color rgb="FF000000"/>
      <name val="Arial"/>
      <family val="2"/>
    </font>
    <font>
      <b/>
      <sz val="12"/>
      <color theme="1"/>
      <name val="Calibri"/>
      <family val="2"/>
      <scheme val="minor"/>
    </font>
    <font>
      <b/>
      <sz val="11"/>
      <color rgb="FF1D6F42"/>
      <name val="Arial"/>
      <family val="2"/>
    </font>
    <font>
      <b/>
      <sz val="10"/>
      <color rgb="FF000000"/>
      <name val="Arial"/>
      <family val="2"/>
    </font>
    <font>
      <sz val="10"/>
      <color rgb="FF000000"/>
      <name val="Arial"/>
      <family val="2"/>
    </font>
    <font>
      <sz val="10"/>
      <color theme="1"/>
      <name val="Calibri"/>
      <family val="2"/>
      <scheme val="minor"/>
    </font>
    <font>
      <i/>
      <sz val="9"/>
      <color rgb="FF595959"/>
      <name val="Arial"/>
      <family val="2"/>
    </font>
    <font>
      <sz val="11"/>
      <color theme="1"/>
      <name val="Arial"/>
      <family val="2"/>
    </font>
    <font>
      <b/>
      <sz val="11"/>
      <color theme="1"/>
      <name val="Arial"/>
      <family val="2"/>
    </font>
    <font>
      <i/>
      <sz val="10"/>
      <color rgb="FF000000"/>
      <name val="Arial"/>
      <family val="2"/>
    </font>
    <font>
      <sz val="12"/>
      <color rgb="FF000000"/>
      <name val="Arial"/>
      <family val="2"/>
    </font>
    <font>
      <b/>
      <sz val="14"/>
      <color rgb="FF000000"/>
      <name val="Arial"/>
      <family val="2"/>
    </font>
    <font>
      <sz val="10"/>
      <name val="Arial"/>
      <family val="2"/>
    </font>
  </fonts>
  <fills count="7">
    <fill>
      <patternFill patternType="none"/>
    </fill>
    <fill>
      <patternFill patternType="gray125"/>
    </fill>
    <fill>
      <patternFill patternType="solid">
        <fgColor rgb="FFF2F2F2"/>
        <bgColor indexed="64"/>
      </patternFill>
    </fill>
    <fill>
      <patternFill patternType="solid">
        <fgColor rgb="FFD9D9D9"/>
        <bgColor indexed="64"/>
      </patternFill>
    </fill>
    <fill>
      <patternFill patternType="solid">
        <fgColor rgb="FFFFFFFF"/>
        <bgColor indexed="64"/>
      </patternFill>
    </fill>
    <fill>
      <patternFill patternType="solid">
        <fgColor theme="0" tint="-0.249977111117893"/>
        <bgColor indexed="64"/>
      </patternFill>
    </fill>
    <fill>
      <patternFill patternType="solid">
        <fgColor theme="0"/>
        <bgColor indexed="64"/>
      </patternFill>
    </fill>
  </fills>
  <borders count="41">
    <border>
      <left/>
      <right/>
      <top/>
      <bottom/>
      <diagonal/>
    </border>
    <border>
      <left/>
      <right/>
      <top style="medium">
        <color auto="1"/>
      </top>
      <bottom/>
      <diagonal/>
    </border>
    <border>
      <left/>
      <right/>
      <top style="thin">
        <color auto="1"/>
      </top>
      <bottom style="thin">
        <color auto="1"/>
      </bottom>
      <diagonal/>
    </border>
    <border>
      <left/>
      <right/>
      <top style="thin">
        <color rgb="FFBFBFBF"/>
      </top>
      <bottom style="thin">
        <color rgb="FFBFBFBF"/>
      </bottom>
      <diagonal/>
    </border>
    <border>
      <left/>
      <right/>
      <top style="thin">
        <color rgb="FFBFBFBF"/>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bottom style="medium">
        <color indexed="64"/>
      </bottom>
      <diagonal/>
    </border>
    <border>
      <left style="thin">
        <color rgb="FFBFBFBF"/>
      </left>
      <right/>
      <top/>
      <bottom/>
      <diagonal/>
    </border>
    <border>
      <left style="thin">
        <color indexed="64"/>
      </left>
      <right style="thin">
        <color indexed="64"/>
      </right>
      <top style="thin">
        <color indexed="64"/>
      </top>
      <bottom style="medium">
        <color indexed="64"/>
      </bottom>
      <diagonal/>
    </border>
    <border>
      <left/>
      <right/>
      <top/>
      <bottom style="medium">
        <color rgb="FF000000"/>
      </bottom>
      <diagonal/>
    </border>
    <border>
      <left style="thin">
        <color rgb="FFBFBFBF"/>
      </left>
      <right/>
      <top/>
      <bottom style="medium">
        <color rgb="FF000000"/>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rgb="FFBFBFBF"/>
      </right>
      <top style="medium">
        <color indexed="64"/>
      </top>
      <bottom style="thin">
        <color rgb="FFBFBFBF"/>
      </bottom>
      <diagonal/>
    </border>
    <border>
      <left style="thin">
        <color rgb="FFBFBFBF"/>
      </left>
      <right style="thin">
        <color rgb="FFBFBFBF"/>
      </right>
      <top style="medium">
        <color indexed="64"/>
      </top>
      <bottom style="thin">
        <color rgb="FFBFBFBF"/>
      </bottom>
      <diagonal/>
    </border>
    <border>
      <left style="thin">
        <color rgb="FFBFBFBF"/>
      </left>
      <right style="medium">
        <color indexed="64"/>
      </right>
      <top style="medium">
        <color indexed="64"/>
      </top>
      <bottom style="thin">
        <color rgb="FFBFBFBF"/>
      </bottom>
      <diagonal/>
    </border>
    <border>
      <left style="medium">
        <color indexed="64"/>
      </left>
      <right style="thin">
        <color rgb="FFBFBFBF"/>
      </right>
      <top/>
      <bottom style="thin">
        <color rgb="FFBFBFBF"/>
      </bottom>
      <diagonal/>
    </border>
    <border>
      <left style="thin">
        <color rgb="FFBFBFBF"/>
      </left>
      <right style="medium">
        <color indexed="64"/>
      </right>
      <top/>
      <bottom style="thin">
        <color rgb="FFBFBFBF"/>
      </bottom>
      <diagonal/>
    </border>
    <border>
      <left style="medium">
        <color indexed="64"/>
      </left>
      <right style="thin">
        <color rgb="FFBFBFBF"/>
      </right>
      <top style="thin">
        <color rgb="FFBFBFBF"/>
      </top>
      <bottom/>
      <diagonal/>
    </border>
    <border>
      <left style="thin">
        <color rgb="FFBFBFBF"/>
      </left>
      <right style="medium">
        <color indexed="64"/>
      </right>
      <top style="thin">
        <color rgb="FFBFBFBF"/>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s>
  <cellStyleXfs count="2">
    <xf numFmtId="0" fontId="0" fillId="0" borderId="0"/>
    <xf numFmtId="44" fontId="1" fillId="0" borderId="0" applyFont="0" applyFill="0" applyBorder="0" applyAlignment="0" applyProtection="0"/>
  </cellStyleXfs>
  <cellXfs count="233">
    <xf numFmtId="0" fontId="0" fillId="0" borderId="0" xfId="0"/>
    <xf numFmtId="0" fontId="2" fillId="0" borderId="0" xfId="0" applyFont="1"/>
    <xf numFmtId="0" fontId="0" fillId="0" borderId="9" xfId="0" applyBorder="1"/>
    <xf numFmtId="0" fontId="0" fillId="0" borderId="0" xfId="0" applyAlignment="1">
      <alignment wrapText="1"/>
    </xf>
    <xf numFmtId="0" fontId="7" fillId="0" borderId="0" xfId="0" applyFont="1" applyAlignment="1">
      <alignment wrapText="1"/>
    </xf>
    <xf numFmtId="0" fontId="6" fillId="0" borderId="0" xfId="0" applyFont="1"/>
    <xf numFmtId="0" fontId="6" fillId="3" borderId="0" xfId="0" applyFont="1" applyFill="1"/>
    <xf numFmtId="0" fontId="3" fillId="2" borderId="5" xfId="0" applyFont="1" applyFill="1" applyBorder="1"/>
    <xf numFmtId="0" fontId="3" fillId="4" borderId="7" xfId="0" applyFont="1" applyFill="1" applyBorder="1"/>
    <xf numFmtId="0" fontId="3" fillId="4" borderId="6" xfId="0" applyFont="1" applyFill="1" applyBorder="1"/>
    <xf numFmtId="0" fontId="6" fillId="4" borderId="6" xfId="0" applyFont="1" applyFill="1" applyBorder="1"/>
    <xf numFmtId="0" fontId="6" fillId="4" borderId="0" xfId="0" applyFont="1" applyFill="1"/>
    <xf numFmtId="0" fontId="7" fillId="0" borderId="0" xfId="0" applyFont="1"/>
    <xf numFmtId="0" fontId="4" fillId="3" borderId="0" xfId="0" applyFont="1" applyFill="1" applyBorder="1"/>
    <xf numFmtId="0" fontId="9" fillId="0" borderId="0" xfId="0" applyFont="1"/>
    <xf numFmtId="0" fontId="11" fillId="3" borderId="0" xfId="0" applyFont="1" applyFill="1"/>
    <xf numFmtId="0" fontId="7" fillId="0" borderId="0" xfId="0" applyFont="1"/>
    <xf numFmtId="0" fontId="9" fillId="0" borderId="2" xfId="0" applyFont="1" applyBorder="1"/>
    <xf numFmtId="0" fontId="9" fillId="0" borderId="10" xfId="0" applyFont="1" applyBorder="1"/>
    <xf numFmtId="0" fontId="6" fillId="0" borderId="16" xfId="0" applyFont="1" applyBorder="1"/>
    <xf numFmtId="0" fontId="11" fillId="3" borderId="11" xfId="0" applyFont="1" applyFill="1" applyBorder="1"/>
    <xf numFmtId="0" fontId="7" fillId="0" borderId="11" xfId="0" applyFont="1" applyBorder="1"/>
    <xf numFmtId="0" fontId="3" fillId="0" borderId="0" xfId="0" applyFont="1"/>
    <xf numFmtId="3" fontId="6" fillId="0" borderId="0" xfId="0" applyNumberFormat="1" applyFont="1"/>
    <xf numFmtId="0" fontId="3" fillId="2" borderId="0" xfId="0" applyFont="1" applyFill="1"/>
    <xf numFmtId="44" fontId="6" fillId="4" borderId="6" xfId="0" applyNumberFormat="1" applyFont="1" applyFill="1" applyBorder="1"/>
    <xf numFmtId="44" fontId="6" fillId="4" borderId="8" xfId="0" applyNumberFormat="1" applyFont="1" applyFill="1" applyBorder="1"/>
    <xf numFmtId="0" fontId="3" fillId="2" borderId="22" xfId="0" applyFont="1" applyFill="1" applyBorder="1" applyAlignment="1">
      <alignment horizontal="center"/>
    </xf>
    <xf numFmtId="0" fontId="6" fillId="4" borderId="19" xfId="0" applyFont="1" applyFill="1" applyBorder="1"/>
    <xf numFmtId="44" fontId="6" fillId="4" borderId="19" xfId="0" applyNumberFormat="1" applyFont="1" applyFill="1" applyBorder="1"/>
    <xf numFmtId="0" fontId="6" fillId="4" borderId="8" xfId="0" applyFont="1" applyFill="1" applyBorder="1"/>
    <xf numFmtId="0" fontId="3" fillId="2" borderId="22" xfId="0" applyFont="1" applyFill="1" applyBorder="1" applyAlignment="1">
      <alignment horizontal="center" wrapText="1"/>
    </xf>
    <xf numFmtId="44" fontId="3" fillId="4" borderId="6" xfId="0" applyNumberFormat="1" applyFont="1" applyFill="1" applyBorder="1"/>
    <xf numFmtId="0" fontId="3" fillId="4" borderId="5" xfId="0" applyFont="1" applyFill="1" applyBorder="1"/>
    <xf numFmtId="44" fontId="3" fillId="4" borderId="5" xfId="1" applyFont="1" applyFill="1" applyBorder="1"/>
    <xf numFmtId="44" fontId="3" fillId="4" borderId="7" xfId="1" applyFont="1" applyFill="1" applyBorder="1"/>
    <xf numFmtId="0" fontId="6" fillId="3" borderId="2" xfId="0" applyFont="1" applyFill="1" applyBorder="1"/>
    <xf numFmtId="0" fontId="6" fillId="3" borderId="10" xfId="0" applyFont="1" applyFill="1" applyBorder="1"/>
    <xf numFmtId="0" fontId="6" fillId="3" borderId="9" xfId="0" applyFont="1" applyFill="1" applyBorder="1"/>
    <xf numFmtId="0" fontId="7" fillId="0" borderId="9" xfId="0" applyFont="1" applyBorder="1"/>
    <xf numFmtId="0" fontId="9" fillId="0" borderId="9" xfId="0" applyFont="1" applyBorder="1"/>
    <xf numFmtId="0" fontId="4" fillId="3" borderId="9" xfId="0" applyFont="1" applyFill="1" applyBorder="1"/>
    <xf numFmtId="0" fontId="4" fillId="3" borderId="9" xfId="0" applyFont="1" applyFill="1" applyBorder="1" applyAlignment="1">
      <alignment wrapText="1"/>
    </xf>
    <xf numFmtId="0" fontId="7" fillId="0" borderId="9" xfId="0" applyFont="1" applyBorder="1"/>
    <xf numFmtId="0" fontId="7" fillId="0" borderId="9" xfId="0" applyFont="1" applyBorder="1" applyAlignment="1">
      <alignment wrapText="1"/>
    </xf>
    <xf numFmtId="0" fontId="7" fillId="2" borderId="9" xfId="0" applyFont="1" applyFill="1" applyBorder="1"/>
    <xf numFmtId="0" fontId="7" fillId="2" borderId="9" xfId="0" applyFont="1" applyFill="1" applyBorder="1" applyAlignment="1">
      <alignment wrapText="1"/>
    </xf>
    <xf numFmtId="0" fontId="13" fillId="3" borderId="9" xfId="0" applyFont="1" applyFill="1" applyBorder="1"/>
    <xf numFmtId="0" fontId="13" fillId="3" borderId="9" xfId="0" applyFont="1" applyFill="1" applyBorder="1" applyAlignment="1">
      <alignment wrapText="1"/>
    </xf>
    <xf numFmtId="2" fontId="7" fillId="0" borderId="9" xfId="0" applyNumberFormat="1" applyFont="1" applyBorder="1"/>
    <xf numFmtId="3" fontId="7" fillId="2" borderId="9" xfId="0" applyNumberFormat="1" applyFont="1" applyFill="1" applyBorder="1"/>
    <xf numFmtId="0" fontId="4" fillId="3" borderId="0" xfId="0" applyFont="1" applyFill="1" applyBorder="1"/>
    <xf numFmtId="0" fontId="3" fillId="2" borderId="12" xfId="0" applyFont="1" applyFill="1" applyBorder="1"/>
    <xf numFmtId="0" fontId="3" fillId="2" borderId="13" xfId="0" applyFont="1" applyFill="1" applyBorder="1" applyAlignment="1">
      <alignment wrapText="1"/>
    </xf>
    <xf numFmtId="0" fontId="3" fillId="2" borderId="13" xfId="0" applyFont="1" applyFill="1" applyBorder="1"/>
    <xf numFmtId="0" fontId="3" fillId="2" borderId="14" xfId="0" applyFont="1" applyFill="1" applyBorder="1" applyAlignment="1">
      <alignment wrapText="1"/>
    </xf>
    <xf numFmtId="0" fontId="6" fillId="4" borderId="10" xfId="0" applyFont="1" applyFill="1" applyBorder="1"/>
    <xf numFmtId="0" fontId="6" fillId="4" borderId="9" xfId="0" applyFont="1" applyFill="1" applyBorder="1" applyAlignment="1">
      <alignment wrapText="1"/>
    </xf>
    <xf numFmtId="0" fontId="6" fillId="4" borderId="9" xfId="0" applyFont="1" applyFill="1" applyBorder="1"/>
    <xf numFmtId="0" fontId="6" fillId="4" borderId="11" xfId="0" applyFont="1" applyFill="1" applyBorder="1" applyAlignment="1">
      <alignment wrapText="1"/>
    </xf>
    <xf numFmtId="0" fontId="6" fillId="4" borderId="15" xfId="0" applyFont="1" applyFill="1" applyBorder="1"/>
    <xf numFmtId="0" fontId="6" fillId="4" borderId="16" xfId="0" applyFont="1" applyFill="1" applyBorder="1" applyAlignment="1">
      <alignment wrapText="1"/>
    </xf>
    <xf numFmtId="0" fontId="6" fillId="4" borderId="16" xfId="0" applyFont="1" applyFill="1" applyBorder="1"/>
    <xf numFmtId="0" fontId="6" fillId="4" borderId="17" xfId="0" applyFont="1" applyFill="1" applyBorder="1" applyAlignment="1">
      <alignment wrapText="1"/>
    </xf>
    <xf numFmtId="0" fontId="3" fillId="2" borderId="12" xfId="0" applyFont="1" applyFill="1" applyBorder="1" applyAlignment="1">
      <alignment horizontal="center"/>
    </xf>
    <xf numFmtId="0" fontId="3" fillId="2" borderId="13" xfId="0" applyFont="1" applyFill="1" applyBorder="1" applyAlignment="1">
      <alignment horizontal="center"/>
    </xf>
    <xf numFmtId="0" fontId="3" fillId="2" borderId="14" xfId="0" applyFont="1" applyFill="1" applyBorder="1" applyAlignment="1">
      <alignment horizontal="center"/>
    </xf>
    <xf numFmtId="44" fontId="6" fillId="4" borderId="9" xfId="1" applyNumberFormat="1" applyFont="1" applyFill="1" applyBorder="1"/>
    <xf numFmtId="44" fontId="3" fillId="4" borderId="11" xfId="1" applyNumberFormat="1" applyFont="1" applyFill="1" applyBorder="1"/>
    <xf numFmtId="0" fontId="3" fillId="4" borderId="15" xfId="0" applyFont="1" applyFill="1" applyBorder="1"/>
    <xf numFmtId="0" fontId="3" fillId="4" borderId="16" xfId="0" applyFont="1" applyFill="1" applyBorder="1"/>
    <xf numFmtId="44" fontId="3" fillId="4" borderId="16" xfId="1" applyNumberFormat="1" applyFont="1" applyFill="1" applyBorder="1"/>
    <xf numFmtId="44" fontId="3" fillId="4" borderId="16" xfId="0" applyNumberFormat="1" applyFont="1" applyFill="1" applyBorder="1"/>
    <xf numFmtId="44" fontId="3" fillId="4" borderId="17" xfId="1" applyNumberFormat="1" applyFont="1" applyFill="1" applyBorder="1"/>
    <xf numFmtId="0" fontId="6" fillId="4" borderId="10" xfId="0" applyNumberFormat="1" applyFont="1" applyFill="1" applyBorder="1"/>
    <xf numFmtId="0" fontId="14" fillId="4" borderId="0" xfId="0" applyFont="1" applyFill="1" applyBorder="1"/>
    <xf numFmtId="0" fontId="14" fillId="4" borderId="0" xfId="0" applyFont="1" applyFill="1" applyBorder="1" applyAlignment="1">
      <alignment wrapText="1"/>
    </xf>
    <xf numFmtId="0" fontId="14" fillId="4" borderId="0" xfId="0" applyNumberFormat="1" applyFont="1" applyFill="1" applyBorder="1"/>
    <xf numFmtId="44" fontId="14" fillId="4" borderId="0" xfId="1" applyNumberFormat="1" applyFont="1" applyFill="1" applyBorder="1"/>
    <xf numFmtId="0" fontId="6" fillId="0" borderId="9" xfId="0" applyFont="1" applyBorder="1"/>
    <xf numFmtId="0" fontId="15" fillId="4" borderId="0" xfId="0" applyFont="1" applyFill="1" applyBorder="1"/>
    <xf numFmtId="0" fontId="15" fillId="4" borderId="0" xfId="0" applyFont="1" applyFill="1" applyBorder="1" applyAlignment="1">
      <alignment wrapText="1"/>
    </xf>
    <xf numFmtId="44" fontId="15" fillId="4" borderId="0" xfId="1" applyNumberFormat="1" applyFont="1" applyFill="1" applyBorder="1"/>
    <xf numFmtId="0" fontId="14" fillId="4" borderId="23" xfId="0" applyFont="1" applyFill="1" applyBorder="1"/>
    <xf numFmtId="0" fontId="14" fillId="4" borderId="1" xfId="0" applyFont="1" applyFill="1" applyBorder="1"/>
    <xf numFmtId="0" fontId="14" fillId="4" borderId="1" xfId="0" applyFont="1" applyFill="1" applyBorder="1" applyAlignment="1">
      <alignment wrapText="1"/>
    </xf>
    <xf numFmtId="1" fontId="14" fillId="4" borderId="1" xfId="0" applyNumberFormat="1" applyFont="1" applyFill="1" applyBorder="1"/>
    <xf numFmtId="44" fontId="14" fillId="4" borderId="1" xfId="1" applyNumberFormat="1" applyFont="1" applyFill="1" applyBorder="1"/>
    <xf numFmtId="44" fontId="14" fillId="4" borderId="24" xfId="1" applyNumberFormat="1" applyFont="1" applyFill="1" applyBorder="1"/>
    <xf numFmtId="0" fontId="14" fillId="4" borderId="25" xfId="0" applyFont="1" applyFill="1" applyBorder="1"/>
    <xf numFmtId="44" fontId="14" fillId="4" borderId="26" xfId="1" applyNumberFormat="1" applyFont="1" applyFill="1" applyBorder="1"/>
    <xf numFmtId="0" fontId="14" fillId="4" borderId="27" xfId="0" applyFont="1" applyFill="1" applyBorder="1"/>
    <xf numFmtId="0" fontId="14" fillId="4" borderId="18" xfId="0" applyFont="1" applyFill="1" applyBorder="1"/>
    <xf numFmtId="0" fontId="14" fillId="4" borderId="18" xfId="0" applyFont="1" applyFill="1" applyBorder="1" applyAlignment="1">
      <alignment wrapText="1"/>
    </xf>
    <xf numFmtId="0" fontId="14" fillId="4" borderId="18" xfId="0" applyNumberFormat="1" applyFont="1" applyFill="1" applyBorder="1"/>
    <xf numFmtId="44" fontId="14" fillId="4" borderId="18" xfId="1" applyNumberFormat="1" applyFont="1" applyFill="1" applyBorder="1"/>
    <xf numFmtId="44" fontId="14" fillId="4" borderId="28" xfId="1" applyNumberFormat="1" applyFont="1" applyFill="1" applyBorder="1"/>
    <xf numFmtId="1" fontId="14" fillId="4" borderId="0" xfId="0" applyNumberFormat="1" applyFont="1" applyFill="1" applyBorder="1"/>
    <xf numFmtId="0" fontId="15" fillId="2" borderId="9" xfId="0" applyFont="1" applyFill="1" applyBorder="1"/>
    <xf numFmtId="1" fontId="15" fillId="4" borderId="0" xfId="0" applyNumberFormat="1" applyFont="1" applyFill="1" applyBorder="1"/>
    <xf numFmtId="44" fontId="14" fillId="4" borderId="1" xfId="0" applyNumberFormat="1" applyFont="1" applyFill="1" applyBorder="1"/>
    <xf numFmtId="44" fontId="14" fillId="4" borderId="24" xfId="0" applyNumberFormat="1" applyFont="1" applyFill="1" applyBorder="1"/>
    <xf numFmtId="0" fontId="4" fillId="3" borderId="9" xfId="0" applyFont="1" applyFill="1" applyBorder="1"/>
    <xf numFmtId="0" fontId="3" fillId="0" borderId="9" xfId="0" applyFont="1" applyBorder="1"/>
    <xf numFmtId="44" fontId="6" fillId="0" borderId="9" xfId="0" applyNumberFormat="1" applyFont="1" applyBorder="1" applyAlignment="1">
      <alignment horizontal="right"/>
    </xf>
    <xf numFmtId="44" fontId="8" fillId="0" borderId="9" xfId="0" applyNumberFormat="1" applyFont="1" applyBorder="1" applyAlignment="1">
      <alignment horizontal="right"/>
    </xf>
    <xf numFmtId="0" fontId="3" fillId="2" borderId="9" xfId="0" applyFont="1" applyFill="1" applyBorder="1"/>
    <xf numFmtId="0" fontId="6" fillId="2" borderId="9" xfId="0" applyFont="1" applyFill="1" applyBorder="1"/>
    <xf numFmtId="44" fontId="6" fillId="2" borderId="9" xfId="0" applyNumberFormat="1" applyFont="1" applyFill="1" applyBorder="1" applyAlignment="1">
      <alignment horizontal="right"/>
    </xf>
    <xf numFmtId="0" fontId="3" fillId="4" borderId="9" xfId="0" applyFont="1" applyFill="1" applyBorder="1"/>
    <xf numFmtId="44" fontId="3" fillId="4" borderId="9" xfId="0" applyNumberFormat="1" applyFont="1" applyFill="1" applyBorder="1" applyAlignment="1">
      <alignment horizontal="right"/>
    </xf>
    <xf numFmtId="44" fontId="10" fillId="4" borderId="9" xfId="0" applyNumberFormat="1" applyFont="1" applyFill="1" applyBorder="1" applyAlignment="1">
      <alignment horizontal="right"/>
    </xf>
    <xf numFmtId="44" fontId="8" fillId="2" borderId="9" xfId="0" applyNumberFormat="1" applyFont="1" applyFill="1" applyBorder="1" applyAlignment="1">
      <alignment horizontal="right"/>
    </xf>
    <xf numFmtId="0" fontId="3" fillId="2" borderId="9" xfId="0" applyFont="1" applyFill="1" applyBorder="1"/>
    <xf numFmtId="2" fontId="6" fillId="0" borderId="9" xfId="0" applyNumberFormat="1" applyFont="1" applyBorder="1" applyAlignment="1">
      <alignment horizontal="right"/>
    </xf>
    <xf numFmtId="0" fontId="6" fillId="0" borderId="9" xfId="0" applyFont="1" applyBorder="1" applyAlignment="1">
      <alignment horizontal="right"/>
    </xf>
    <xf numFmtId="2" fontId="6" fillId="2" borderId="9" xfId="0" applyNumberFormat="1" applyFont="1" applyFill="1" applyBorder="1" applyAlignment="1">
      <alignment horizontal="right"/>
    </xf>
    <xf numFmtId="0" fontId="6" fillId="2" borderId="9" xfId="0" applyFont="1" applyFill="1" applyBorder="1" applyAlignment="1">
      <alignment horizontal="right"/>
    </xf>
    <xf numFmtId="3" fontId="3" fillId="2" borderId="9" xfId="0" applyNumberFormat="1" applyFont="1" applyFill="1" applyBorder="1" applyAlignment="1">
      <alignment horizontal="right"/>
    </xf>
    <xf numFmtId="0" fontId="11" fillId="3" borderId="9" xfId="0" applyFont="1" applyFill="1" applyBorder="1" applyAlignment="1">
      <alignment horizontal="left"/>
    </xf>
    <xf numFmtId="0" fontId="9" fillId="0" borderId="9" xfId="0" applyFont="1" applyBorder="1" applyAlignment="1">
      <alignment horizontal="right"/>
    </xf>
    <xf numFmtId="0" fontId="4" fillId="3" borderId="9" xfId="0" applyFont="1" applyFill="1" applyBorder="1" applyAlignment="1">
      <alignment horizontal="center"/>
    </xf>
    <xf numFmtId="0" fontId="9" fillId="0" borderId="9" xfId="0" applyFont="1" applyBorder="1" applyAlignment="1">
      <alignment horizontal="center"/>
    </xf>
    <xf numFmtId="0" fontId="13" fillId="0" borderId="9" xfId="0" applyFont="1" applyBorder="1"/>
    <xf numFmtId="0" fontId="5" fillId="3" borderId="9" xfId="0" applyFont="1" applyFill="1" applyBorder="1"/>
    <xf numFmtId="0" fontId="7" fillId="0" borderId="9" xfId="0" applyFont="1" applyBorder="1" applyAlignment="1">
      <alignment wrapText="1"/>
    </xf>
    <xf numFmtId="0" fontId="15" fillId="4" borderId="9" xfId="0" applyFont="1" applyFill="1" applyBorder="1"/>
    <xf numFmtId="0" fontId="17" fillId="5" borderId="16" xfId="0" applyFont="1" applyFill="1" applyBorder="1" applyAlignment="1">
      <alignment horizontal="left"/>
    </xf>
    <xf numFmtId="0" fontId="2" fillId="0" borderId="0" xfId="0" applyFont="1" applyBorder="1" applyAlignment="1">
      <alignment horizontal="left"/>
    </xf>
    <xf numFmtId="0" fontId="2" fillId="0" borderId="0" xfId="0" applyFont="1" applyBorder="1" applyAlignment="1">
      <alignment horizontal="left" wrapText="1"/>
    </xf>
    <xf numFmtId="0" fontId="6" fillId="0" borderId="0" xfId="0" applyFont="1" applyBorder="1"/>
    <xf numFmtId="0" fontId="3" fillId="6" borderId="9" xfId="0" applyFont="1" applyFill="1" applyBorder="1" applyAlignment="1">
      <alignment horizontal="center"/>
    </xf>
    <xf numFmtId="0" fontId="3" fillId="6" borderId="9" xfId="0" applyFont="1" applyFill="1" applyBorder="1"/>
    <xf numFmtId="0" fontId="14" fillId="6" borderId="9" xfId="0" applyFont="1" applyFill="1" applyBorder="1"/>
    <xf numFmtId="0" fontId="6" fillId="6" borderId="9" xfId="0" applyFont="1" applyFill="1" applyBorder="1" applyAlignment="1">
      <alignment wrapText="1"/>
    </xf>
    <xf numFmtId="0" fontId="6" fillId="6" borderId="9" xfId="0" applyFont="1" applyFill="1" applyBorder="1"/>
    <xf numFmtId="0" fontId="3" fillId="6" borderId="9" xfId="0" applyFont="1" applyFill="1" applyBorder="1"/>
    <xf numFmtId="0" fontId="2" fillId="6" borderId="9" xfId="0" applyFont="1" applyFill="1" applyBorder="1"/>
    <xf numFmtId="0" fontId="3" fillId="6" borderId="9" xfId="0" applyFont="1" applyFill="1" applyBorder="1" applyAlignment="1">
      <alignment horizontal="center"/>
    </xf>
    <xf numFmtId="0" fontId="6" fillId="6" borderId="9" xfId="0" applyFont="1" applyFill="1" applyBorder="1" applyAlignment="1">
      <alignment horizontal="center" wrapText="1"/>
    </xf>
    <xf numFmtId="0" fontId="6" fillId="6" borderId="9" xfId="0" applyFont="1" applyFill="1" applyBorder="1" applyAlignment="1">
      <alignment horizontal="center"/>
    </xf>
    <xf numFmtId="0" fontId="3" fillId="6" borderId="9" xfId="0" applyFont="1" applyFill="1" applyBorder="1" applyAlignment="1"/>
    <xf numFmtId="0" fontId="3" fillId="6" borderId="9" xfId="0" applyFont="1" applyFill="1" applyBorder="1" applyAlignment="1">
      <alignment wrapText="1"/>
    </xf>
    <xf numFmtId="0" fontId="11" fillId="3" borderId="11" xfId="0" applyFont="1" applyFill="1" applyBorder="1" applyAlignment="1">
      <alignment horizontal="center"/>
    </xf>
    <xf numFmtId="0" fontId="11" fillId="3" borderId="2" xfId="0" applyFont="1" applyFill="1" applyBorder="1" applyAlignment="1">
      <alignment horizontal="center"/>
    </xf>
    <xf numFmtId="0" fontId="11" fillId="3" borderId="10" xfId="0" applyFont="1" applyFill="1" applyBorder="1" applyAlignment="1">
      <alignment horizontal="center"/>
    </xf>
    <xf numFmtId="0" fontId="7" fillId="2" borderId="11" xfId="0" applyFont="1" applyFill="1" applyBorder="1" applyAlignment="1">
      <alignment horizontal="center"/>
    </xf>
    <xf numFmtId="0" fontId="7" fillId="2" borderId="2" xfId="0" applyFont="1" applyFill="1" applyBorder="1" applyAlignment="1">
      <alignment horizontal="center"/>
    </xf>
    <xf numFmtId="0" fontId="7" fillId="2" borderId="10" xfId="0" applyFont="1" applyFill="1" applyBorder="1" applyAlignment="1">
      <alignment horizontal="center"/>
    </xf>
    <xf numFmtId="0" fontId="3" fillId="3" borderId="11" xfId="0" applyFont="1" applyFill="1" applyBorder="1" applyAlignment="1">
      <alignment horizontal="center"/>
    </xf>
    <xf numFmtId="0" fontId="3" fillId="3" borderId="2" xfId="0" applyFont="1" applyFill="1" applyBorder="1" applyAlignment="1">
      <alignment horizontal="center"/>
    </xf>
    <xf numFmtId="0" fontId="3" fillId="3" borderId="10" xfId="0" applyFont="1" applyFill="1" applyBorder="1" applyAlignment="1">
      <alignment horizontal="center"/>
    </xf>
    <xf numFmtId="0" fontId="7" fillId="2" borderId="11" xfId="0" applyFont="1" applyFill="1" applyBorder="1" applyAlignment="1">
      <alignment horizontal="center" wrapText="1"/>
    </xf>
    <xf numFmtId="0" fontId="7" fillId="2" borderId="2" xfId="0" applyFont="1" applyFill="1" applyBorder="1" applyAlignment="1">
      <alignment horizontal="center" wrapText="1"/>
    </xf>
    <xf numFmtId="0" fontId="7" fillId="2" borderId="10" xfId="0" applyFont="1" applyFill="1" applyBorder="1" applyAlignment="1">
      <alignment horizontal="center" wrapText="1"/>
    </xf>
    <xf numFmtId="0" fontId="15" fillId="4" borderId="11" xfId="0" applyFont="1" applyFill="1" applyBorder="1" applyAlignment="1">
      <alignment horizontal="left" wrapText="1"/>
    </xf>
    <xf numFmtId="0" fontId="15" fillId="4" borderId="2" xfId="0" applyFont="1" applyFill="1" applyBorder="1" applyAlignment="1">
      <alignment horizontal="left" wrapText="1"/>
    </xf>
    <xf numFmtId="0" fontId="15" fillId="4" borderId="10" xfId="0" applyFont="1" applyFill="1" applyBorder="1" applyAlignment="1">
      <alignment horizontal="left" wrapText="1"/>
    </xf>
    <xf numFmtId="0" fontId="3" fillId="6" borderId="9" xfId="0" applyFont="1" applyFill="1" applyBorder="1" applyAlignment="1">
      <alignment horizontal="right"/>
    </xf>
    <xf numFmtId="3" fontId="3" fillId="6" borderId="9" xfId="0" applyNumberFormat="1" applyFont="1" applyFill="1" applyBorder="1" applyAlignment="1">
      <alignment horizontal="right"/>
    </xf>
    <xf numFmtId="170" fontId="3" fillId="6" borderId="9" xfId="0" applyNumberFormat="1" applyFont="1" applyFill="1" applyBorder="1" applyAlignment="1">
      <alignment horizontal="right"/>
    </xf>
    <xf numFmtId="0" fontId="15" fillId="6" borderId="9" xfId="0" applyFont="1" applyFill="1" applyBorder="1"/>
    <xf numFmtId="3" fontId="15" fillId="6" borderId="9" xfId="0" applyNumberFormat="1" applyFont="1" applyFill="1" applyBorder="1" applyAlignment="1">
      <alignment horizontal="right"/>
    </xf>
    <xf numFmtId="170" fontId="15" fillId="6" borderId="9" xfId="0" applyNumberFormat="1" applyFont="1" applyFill="1" applyBorder="1" applyAlignment="1">
      <alignment horizontal="right"/>
    </xf>
    <xf numFmtId="171" fontId="15" fillId="6" borderId="9" xfId="0" applyNumberFormat="1" applyFont="1" applyFill="1" applyBorder="1" applyAlignment="1">
      <alignment horizontal="right"/>
    </xf>
    <xf numFmtId="172" fontId="15" fillId="6" borderId="9" xfId="0" applyNumberFormat="1" applyFont="1" applyFill="1" applyBorder="1" applyAlignment="1">
      <alignment horizontal="center"/>
    </xf>
    <xf numFmtId="3" fontId="6" fillId="6" borderId="9" xfId="0" applyNumberFormat="1" applyFont="1" applyFill="1" applyBorder="1" applyAlignment="1">
      <alignment horizontal="right"/>
    </xf>
    <xf numFmtId="170" fontId="6" fillId="6" borderId="9" xfId="0" applyNumberFormat="1" applyFont="1" applyFill="1" applyBorder="1" applyAlignment="1">
      <alignment horizontal="right"/>
    </xf>
    <xf numFmtId="171" fontId="6" fillId="6" borderId="9" xfId="0" applyNumberFormat="1" applyFont="1" applyFill="1" applyBorder="1" applyAlignment="1">
      <alignment horizontal="right"/>
    </xf>
    <xf numFmtId="172" fontId="6" fillId="6" borderId="9" xfId="0" applyNumberFormat="1" applyFont="1" applyFill="1" applyBorder="1" applyAlignment="1">
      <alignment horizontal="center"/>
    </xf>
    <xf numFmtId="49" fontId="6" fillId="6" borderId="9" xfId="0" applyNumberFormat="1" applyFont="1" applyFill="1" applyBorder="1" applyAlignment="1">
      <alignment horizontal="center"/>
    </xf>
    <xf numFmtId="49" fontId="12" fillId="6" borderId="9" xfId="0" applyNumberFormat="1" applyFont="1" applyFill="1" applyBorder="1" applyAlignment="1">
      <alignment horizontal="center"/>
    </xf>
    <xf numFmtId="49" fontId="18" fillId="6" borderId="9" xfId="0" applyNumberFormat="1" applyFont="1" applyFill="1" applyBorder="1" applyAlignment="1">
      <alignment horizontal="center"/>
    </xf>
    <xf numFmtId="44" fontId="6" fillId="4" borderId="9" xfId="0" applyNumberFormat="1" applyFont="1" applyFill="1" applyBorder="1"/>
    <xf numFmtId="44" fontId="6" fillId="4" borderId="11" xfId="0" applyNumberFormat="1" applyFont="1" applyFill="1" applyBorder="1"/>
    <xf numFmtId="44" fontId="3" fillId="4" borderId="17" xfId="0" applyNumberFormat="1" applyFont="1" applyFill="1" applyBorder="1"/>
    <xf numFmtId="0" fontId="19" fillId="2" borderId="21" xfId="0" applyFont="1" applyFill="1" applyBorder="1" applyAlignment="1">
      <alignment horizontal="center"/>
    </xf>
    <xf numFmtId="0" fontId="20" fillId="4" borderId="0" xfId="0" applyFont="1" applyFill="1" applyBorder="1"/>
    <xf numFmtId="0" fontId="20" fillId="4" borderId="4" xfId="0" applyFont="1" applyFill="1" applyBorder="1"/>
    <xf numFmtId="0" fontId="21" fillId="0" borderId="0" xfId="0" applyFont="1"/>
    <xf numFmtId="0" fontId="20" fillId="0" borderId="0" xfId="0" applyFont="1"/>
    <xf numFmtId="0" fontId="19" fillId="2" borderId="0" xfId="0" applyFont="1" applyFill="1"/>
    <xf numFmtId="0" fontId="20" fillId="4" borderId="0" xfId="0" applyFont="1" applyFill="1"/>
    <xf numFmtId="0" fontId="6" fillId="4" borderId="6" xfId="0" applyFont="1" applyFill="1" applyBorder="1" applyAlignment="1">
      <alignment horizontal="left"/>
    </xf>
    <xf numFmtId="0" fontId="20" fillId="4" borderId="19" xfId="0" applyFont="1" applyFill="1" applyBorder="1" applyAlignment="1">
      <alignment wrapText="1"/>
    </xf>
    <xf numFmtId="0" fontId="20" fillId="4" borderId="8" xfId="0" applyFont="1" applyFill="1" applyBorder="1" applyAlignment="1">
      <alignment wrapText="1"/>
    </xf>
    <xf numFmtId="44" fontId="6" fillId="0" borderId="16" xfId="1" applyFont="1" applyBorder="1"/>
    <xf numFmtId="0" fontId="15" fillId="4" borderId="29" xfId="0" applyFont="1" applyFill="1" applyBorder="1"/>
    <xf numFmtId="0" fontId="15" fillId="4" borderId="30" xfId="0" applyFont="1" applyFill="1" applyBorder="1"/>
    <xf numFmtId="44" fontId="15" fillId="4" borderId="30" xfId="1" applyFont="1" applyFill="1" applyBorder="1"/>
    <xf numFmtId="44" fontId="15" fillId="4" borderId="31" xfId="1" applyNumberFormat="1" applyFont="1" applyFill="1" applyBorder="1"/>
    <xf numFmtId="0" fontId="3" fillId="4" borderId="32" xfId="0" applyFont="1" applyFill="1" applyBorder="1"/>
    <xf numFmtId="44" fontId="3" fillId="4" borderId="33" xfId="1" applyNumberFormat="1" applyFont="1" applyFill="1" applyBorder="1"/>
    <xf numFmtId="0" fontId="3" fillId="4" borderId="34" xfId="0" applyFont="1" applyFill="1" applyBorder="1"/>
    <xf numFmtId="44" fontId="3" fillId="4" borderId="35" xfId="1" applyNumberFormat="1" applyFont="1" applyFill="1" applyBorder="1"/>
    <xf numFmtId="0" fontId="16" fillId="4" borderId="36" xfId="0" applyFont="1" applyFill="1" applyBorder="1"/>
    <xf numFmtId="0" fontId="16" fillId="4" borderId="20" xfId="0" applyFont="1" applyFill="1" applyBorder="1"/>
    <xf numFmtId="44" fontId="16" fillId="4" borderId="20" xfId="1" applyFont="1" applyFill="1" applyBorder="1"/>
    <xf numFmtId="44" fontId="16" fillId="4" borderId="37" xfId="1" applyNumberFormat="1" applyFont="1" applyFill="1" applyBorder="1"/>
    <xf numFmtId="0" fontId="15" fillId="2" borderId="38" xfId="0" applyFont="1" applyFill="1" applyBorder="1"/>
    <xf numFmtId="0" fontId="15" fillId="2" borderId="39" xfId="0" applyFont="1" applyFill="1" applyBorder="1"/>
    <xf numFmtId="0" fontId="15" fillId="2" borderId="39" xfId="0" applyFont="1" applyFill="1" applyBorder="1" applyAlignment="1">
      <alignment wrapText="1"/>
    </xf>
    <xf numFmtId="0" fontId="15" fillId="2" borderId="40" xfId="0" applyFont="1" applyFill="1" applyBorder="1"/>
    <xf numFmtId="0" fontId="15" fillId="2" borderId="0" xfId="0" applyFont="1" applyFill="1"/>
    <xf numFmtId="0" fontId="26" fillId="3" borderId="9" xfId="0" applyFont="1" applyFill="1" applyBorder="1"/>
    <xf numFmtId="0" fontId="26" fillId="3" borderId="9" xfId="0" applyFont="1" applyFill="1" applyBorder="1" applyAlignment="1">
      <alignment wrapText="1"/>
    </xf>
    <xf numFmtId="0" fontId="7" fillId="6" borderId="9" xfId="0" applyFont="1" applyFill="1" applyBorder="1"/>
    <xf numFmtId="0" fontId="7" fillId="6" borderId="9" xfId="0" applyFont="1" applyFill="1" applyBorder="1" applyAlignment="1">
      <alignment wrapText="1"/>
    </xf>
    <xf numFmtId="0" fontId="25" fillId="6" borderId="9" xfId="0" applyFont="1" applyFill="1" applyBorder="1" applyAlignment="1">
      <alignment horizontal="left" vertical="top" wrapText="1"/>
    </xf>
    <xf numFmtId="3" fontId="26" fillId="3" borderId="9" xfId="0" applyNumberFormat="1" applyFont="1" applyFill="1" applyBorder="1"/>
    <xf numFmtId="0" fontId="26" fillId="3" borderId="9" xfId="0" applyFont="1" applyFill="1" applyBorder="1" applyAlignment="1">
      <alignment horizontal="left"/>
    </xf>
    <xf numFmtId="0" fontId="22" fillId="4" borderId="9" xfId="0" applyFont="1" applyFill="1" applyBorder="1" applyAlignment="1">
      <alignment wrapText="1"/>
    </xf>
    <xf numFmtId="0" fontId="15" fillId="2" borderId="9" xfId="0" applyFont="1" applyFill="1" applyBorder="1"/>
    <xf numFmtId="0" fontId="14" fillId="4" borderId="9" xfId="0" applyFont="1" applyFill="1" applyBorder="1"/>
    <xf numFmtId="3" fontId="14" fillId="4" borderId="9" xfId="0" applyNumberFormat="1" applyFont="1" applyFill="1" applyBorder="1"/>
    <xf numFmtId="38" fontId="14" fillId="4" borderId="9" xfId="0" applyNumberFormat="1" applyFont="1" applyFill="1" applyBorder="1"/>
    <xf numFmtId="0" fontId="24" fillId="4" borderId="9" xfId="0" applyFont="1" applyFill="1" applyBorder="1"/>
    <xf numFmtId="38" fontId="15" fillId="4" borderId="9" xfId="0" applyNumberFormat="1" applyFont="1" applyFill="1" applyBorder="1"/>
    <xf numFmtId="0" fontId="24" fillId="2" borderId="9" xfId="0" applyFont="1" applyFill="1" applyBorder="1"/>
    <xf numFmtId="0" fontId="23" fillId="4" borderId="9" xfId="0" applyFont="1" applyFill="1" applyBorder="1"/>
    <xf numFmtId="3" fontId="23" fillId="4" borderId="9" xfId="0" applyNumberFormat="1" applyFont="1" applyFill="1" applyBorder="1"/>
    <xf numFmtId="3" fontId="24" fillId="4" borderId="9" xfId="0" applyNumberFormat="1" applyFont="1" applyFill="1" applyBorder="1"/>
    <xf numFmtId="0" fontId="24" fillId="2" borderId="9" xfId="0" applyFont="1" applyFill="1" applyBorder="1"/>
    <xf numFmtId="0" fontId="24" fillId="4" borderId="9" xfId="0" applyFont="1" applyFill="1" applyBorder="1"/>
    <xf numFmtId="38" fontId="24" fillId="4" borderId="9" xfId="0" applyNumberFormat="1" applyFont="1" applyFill="1" applyBorder="1"/>
    <xf numFmtId="0" fontId="22" fillId="0" borderId="9" xfId="0" applyFont="1" applyBorder="1"/>
    <xf numFmtId="0" fontId="20" fillId="0" borderId="9" xfId="0" applyFont="1" applyBorder="1" applyAlignment="1">
      <alignment wrapText="1"/>
    </xf>
    <xf numFmtId="0" fontId="15" fillId="0" borderId="9" xfId="0" applyFont="1" applyBorder="1"/>
    <xf numFmtId="0" fontId="27" fillId="3" borderId="9" xfId="0" applyFont="1" applyFill="1" applyBorder="1"/>
    <xf numFmtId="0" fontId="22" fillId="0" borderId="0" xfId="0" applyFont="1" applyAlignment="1">
      <alignment wrapText="1"/>
    </xf>
    <xf numFmtId="0" fontId="28" fillId="0" borderId="0" xfId="0" applyFont="1" applyBorder="1" applyAlignment="1">
      <alignment vertical="top" wrapText="1"/>
    </xf>
    <xf numFmtId="0" fontId="28" fillId="0" borderId="4" xfId="0" applyFont="1" applyBorder="1" applyAlignment="1">
      <alignment vertical="top" wrapText="1"/>
    </xf>
    <xf numFmtId="0" fontId="28" fillId="0" borderId="3" xfId="0" applyFont="1" applyBorder="1" applyAlignment="1">
      <alignment vertical="top" wrapText="1"/>
    </xf>
  </cellXfs>
  <cellStyles count="2">
    <cellStyle name="Moneda" xfId="1" builtinId="4"/>
    <cellStyle name="Normal" xfId="0" builtinId="0"/>
  </cellStyles>
  <dxfs count="61">
    <dxf>
      <font>
        <b val="0"/>
        <i val="0"/>
        <strike val="0"/>
        <condense val="0"/>
        <extend val="0"/>
        <outline val="0"/>
        <shadow val="0"/>
        <u val="none"/>
        <vertAlign val="baseline"/>
        <sz val="10"/>
        <color rgb="FF000000"/>
        <name val="Arial"/>
        <scheme val="none"/>
      </font>
      <fill>
        <patternFill patternType="solid">
          <fgColor indexed="64"/>
          <bgColor rgb="FFFFFFFF"/>
        </patternFill>
      </fill>
      <alignment horizontal="general" vertical="bottom" textRotation="0" wrapText="1" indent="0" justifyLastLine="0" shrinkToFit="0" readingOrder="0"/>
      <border diagonalUp="0" diagonalDown="0" outline="0">
        <left style="thin">
          <color rgb="FFBFBFBF"/>
        </left>
        <right/>
        <top style="thin">
          <color rgb="FFBFBFBF"/>
        </top>
        <bottom/>
      </border>
    </dxf>
    <dxf>
      <font>
        <b val="0"/>
        <i val="0"/>
        <strike val="0"/>
        <condense val="0"/>
        <extend val="0"/>
        <outline val="0"/>
        <shadow val="0"/>
        <u val="none"/>
        <vertAlign val="baseline"/>
        <sz val="11"/>
        <color rgb="FF000000"/>
        <name val="Arial"/>
        <scheme val="minor"/>
      </font>
      <fill>
        <patternFill patternType="solid">
          <fgColor indexed="64"/>
          <bgColor rgb="FFFFFFFF"/>
        </patternFill>
      </fill>
      <border diagonalUp="0" diagonalDown="0" outline="0">
        <left/>
        <right/>
        <top style="thin">
          <color rgb="FFBFBFBF"/>
        </top>
        <bottom/>
      </border>
    </dxf>
    <dxf>
      <font>
        <b val="0"/>
        <i val="0"/>
        <strike val="0"/>
        <condense val="0"/>
        <extend val="0"/>
        <outline val="0"/>
        <shadow val="0"/>
        <u val="none"/>
        <vertAlign val="baseline"/>
        <sz val="11"/>
        <color rgb="FF000000"/>
        <name val="Arial"/>
        <scheme val="minor"/>
      </font>
      <fill>
        <patternFill patternType="solid">
          <fgColor indexed="64"/>
          <bgColor rgb="FFFFFFFF"/>
        </patternFill>
      </fill>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0"/>
        <color rgb="FF000000"/>
        <name val="Arial"/>
        <scheme val="minor"/>
      </font>
      <fill>
        <patternFill patternType="solid">
          <fgColor indexed="64"/>
          <bgColor rgb="FFFFFFFF"/>
        </patternFill>
      </fill>
      <border diagonalUp="0" diagonalDown="0" outline="0">
        <left/>
        <right/>
        <top style="thin">
          <color rgb="FFBFBFBF"/>
        </top>
        <bottom/>
      </border>
    </dxf>
    <dxf>
      <font>
        <b val="0"/>
        <i val="0"/>
        <strike val="0"/>
        <condense val="0"/>
        <extend val="0"/>
        <outline val="0"/>
        <shadow val="0"/>
        <u val="none"/>
        <vertAlign val="baseline"/>
        <sz val="11"/>
        <color rgb="FF000000"/>
        <name val="Arial"/>
        <scheme val="minor"/>
      </font>
      <fill>
        <patternFill patternType="solid">
          <fgColor indexed="64"/>
          <bgColor rgb="FFFFFFFF"/>
        </patternFill>
      </fill>
      <border diagonalUp="0" diagonalDown="0" outline="0">
        <left/>
        <right/>
        <top style="thin">
          <color rgb="FFBFBFBF"/>
        </top>
        <bottom/>
      </border>
    </dxf>
    <dxf>
      <font>
        <b/>
        <sz val="11"/>
        <color rgb="FF000000"/>
        <name val="Arial"/>
      </font>
      <fill>
        <patternFill patternType="solid">
          <fgColor indexed="64"/>
          <bgColor rgb="FFF2F2F2"/>
        </patternFill>
      </fill>
      <alignment horizontal="center"/>
      <border diagonalUp="0" diagonalDown="0">
        <left style="thin">
          <color indexed="64"/>
        </left>
        <right style="thin">
          <color indexed="64"/>
        </right>
        <top/>
        <bottom/>
        <vertical style="thin">
          <color indexed="64"/>
        </vertical>
        <horizontal style="thin">
          <color indexed="64"/>
        </horizontal>
      </border>
    </dxf>
    <dxf>
      <font>
        <sz val="11"/>
        <color rgb="FF000000"/>
        <name val="Arial"/>
      </font>
      <border diagonalUp="0" diagonalDown="0">
        <left style="thin">
          <color indexed="64"/>
        </left>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Arial"/>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Arial"/>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1"/>
        <color rgb="FF000000"/>
        <name val="Arial"/>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Arial"/>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1"/>
        <color rgb="FF000000"/>
        <name val="Arial"/>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Arial"/>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Arial"/>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1"/>
        <color rgb="FF000000"/>
        <name val="Arial"/>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1"/>
        <color rgb="FF000000"/>
        <name val="Arial"/>
      </font>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sz val="11"/>
        <color rgb="FF000000"/>
        <name val="Arial"/>
      </font>
      <fill>
        <patternFill patternType="solid">
          <fgColor indexed="64"/>
          <bgColor rgb="FFF2F2F2"/>
        </patternFill>
      </fill>
      <alignment horizontal="center"/>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11"/>
        <color rgb="FF000000"/>
        <name val="Arial"/>
        <scheme val="minor"/>
      </font>
      <fill>
        <patternFill patternType="solid">
          <fgColor indexed="64"/>
          <bgColor rgb="FFFFFFFF"/>
        </patternFill>
      </fill>
      <border diagonalUp="0" diagonalDown="0">
        <left style="thin">
          <color indexed="64"/>
        </left>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Arial"/>
        <scheme val="minor"/>
      </font>
      <fill>
        <patternFill patternType="solid">
          <fgColor indexed="64"/>
          <bgColor rgb="FFFFFFFF"/>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Arial"/>
        <scheme val="minor"/>
      </font>
      <fill>
        <patternFill patternType="solid">
          <fgColor indexed="64"/>
          <bgColor rgb="FFFFFFFF"/>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Arial"/>
        <scheme val="minor"/>
      </font>
      <fill>
        <patternFill patternType="solid">
          <fgColor indexed="64"/>
          <bgColor rgb="FFFFFFFF"/>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Arial"/>
        <scheme val="minor"/>
      </font>
      <fill>
        <patternFill patternType="solid">
          <fgColor indexed="64"/>
          <bgColor rgb="FFFFFFFF"/>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Arial"/>
        <scheme val="minor"/>
      </font>
      <fill>
        <patternFill patternType="solid">
          <fgColor indexed="64"/>
          <bgColor rgb="FFFFFFFF"/>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Arial"/>
        <scheme val="minor"/>
      </font>
      <fill>
        <patternFill patternType="solid">
          <fgColor indexed="64"/>
          <bgColor rgb="FFFFFFFF"/>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Arial"/>
        <scheme val="minor"/>
      </font>
      <fill>
        <patternFill patternType="solid">
          <fgColor indexed="64"/>
          <bgColor rgb="FFFFFFFF"/>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Arial"/>
        <scheme val="minor"/>
      </font>
      <fill>
        <patternFill patternType="solid">
          <fgColor indexed="64"/>
          <bgColor rgb="FFFFFFFF"/>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Arial"/>
        <scheme val="minor"/>
      </font>
      <fill>
        <patternFill patternType="solid">
          <fgColor indexed="64"/>
          <bgColor rgb="FFFFFFFF"/>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1"/>
        <color rgb="FF000000"/>
        <name val="Arial"/>
      </font>
      <fill>
        <patternFill patternType="solid">
          <fgColor indexed="64"/>
          <bgColor rgb="FFFFFFFF"/>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1"/>
        <color rgb="FF000000"/>
        <name val="Arial"/>
      </font>
      <fill>
        <patternFill patternType="solid">
          <fgColor indexed="64"/>
          <bgColor rgb="FFFFFFFF"/>
        </patternFill>
      </fill>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sz val="11"/>
        <color rgb="FF000000"/>
        <name val="Arial"/>
      </font>
      <fill>
        <patternFill patternType="solid">
          <fgColor indexed="64"/>
          <bgColor rgb="FFF2F2F2"/>
        </patternFill>
      </fill>
      <border diagonalUp="0" diagonalDown="0">
        <left style="thin">
          <color indexed="64"/>
        </left>
        <right style="thin">
          <color indexed="64"/>
        </right>
        <top/>
        <bottom/>
        <vertical style="thin">
          <color indexed="64"/>
        </vertical>
        <horizontal style="thin">
          <color indexed="64"/>
        </horizontal>
      </border>
    </dxf>
    <dxf>
      <font>
        <sz val="11"/>
        <color rgb="FF000000"/>
        <name val="Arial"/>
      </font>
      <fill>
        <patternFill patternType="solid">
          <fgColor indexed="64"/>
          <bgColor rgb="FFFFFFFF"/>
        </patternFill>
      </fill>
      <alignment wrapText="1"/>
      <border diagonalUp="0" diagonalDown="0">
        <left style="thin">
          <color indexed="64"/>
        </left>
        <right/>
        <top style="thin">
          <color indexed="64"/>
        </top>
        <bottom style="thin">
          <color indexed="64"/>
        </bottom>
        <vertical style="thin">
          <color indexed="64"/>
        </vertical>
        <horizontal style="thin">
          <color indexed="64"/>
        </horizontal>
      </border>
    </dxf>
    <dxf>
      <font>
        <sz val="11"/>
        <color rgb="FF000000"/>
        <name val="Arial"/>
        <scheme val="none"/>
      </font>
      <fill>
        <patternFill patternType="solid">
          <fgColor indexed="64"/>
          <bgColor rgb="FFFFFFFF"/>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1"/>
        <color rgb="FF000000"/>
        <name val="Arial"/>
      </font>
      <fill>
        <patternFill patternType="solid">
          <fgColor indexed="64"/>
          <bgColor rgb="FFFFFFFF"/>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1"/>
        <color rgb="FF000000"/>
        <name val="Arial"/>
      </font>
      <fill>
        <patternFill patternType="solid">
          <fgColor indexed="64"/>
          <bgColor rgb="FFFFFFFF"/>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1"/>
        <color rgb="FF000000"/>
        <name val="Arial"/>
      </font>
      <fill>
        <patternFill patternType="solid">
          <fgColor indexed="64"/>
          <bgColor rgb="FFFFFFFF"/>
        </patternFill>
      </fill>
      <alignment wrapText="1"/>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1"/>
        <color rgb="FF000000"/>
        <name val="Arial"/>
      </font>
      <fill>
        <patternFill patternType="solid">
          <fgColor indexed="64"/>
          <bgColor rgb="FFFFFFFF"/>
        </patternFill>
      </fill>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color rgb="FF856404"/>
      </font>
      <fill>
        <patternFill patternType="solid">
          <fgColor indexed="64"/>
          <bgColor rgb="FFFFF3CD"/>
        </patternFill>
      </fill>
    </dxf>
    <dxf>
      <font>
        <b/>
        <i val="0"/>
        <color rgb="FF0C5460"/>
      </font>
      <fill>
        <patternFill patternType="solid">
          <fgColor indexed="64"/>
          <bgColor rgb="FFD1ECF1"/>
        </patternFill>
      </fill>
    </dxf>
    <dxf>
      <font>
        <b/>
        <i val="0"/>
        <color rgb="FF856404"/>
      </font>
      <fill>
        <patternFill patternType="solid">
          <fgColor indexed="64"/>
          <bgColor rgb="FFFFF3CD"/>
        </patternFill>
      </fill>
    </dxf>
    <dxf>
      <font>
        <b/>
        <i val="0"/>
        <color rgb="FF0C5460"/>
      </font>
      <fill>
        <patternFill patternType="solid">
          <fgColor indexed="64"/>
          <bgColor rgb="FFD1ECF1"/>
        </patternFill>
      </fill>
    </dxf>
    <dxf>
      <font>
        <sz val="11"/>
        <color rgb="FF000000"/>
        <name val="Arial"/>
      </font>
      <fill>
        <patternFill patternType="solid">
          <fgColor indexed="64"/>
          <bgColor rgb="FFFFFFFF"/>
        </patternFill>
      </fill>
    </dxf>
    <dxf>
      <font>
        <b val="0"/>
        <i val="0"/>
        <strike val="0"/>
        <condense val="0"/>
        <extend val="0"/>
        <outline val="0"/>
        <shadow val="0"/>
        <u val="none"/>
        <vertAlign val="baseline"/>
        <sz val="11"/>
        <color rgb="FF000000"/>
        <name val="Arial"/>
        <scheme val="minor"/>
      </font>
      <fill>
        <patternFill patternType="solid">
          <fgColor indexed="64"/>
          <bgColor rgb="FFFFFFFF"/>
        </patternFill>
      </fill>
    </dxf>
    <dxf>
      <border>
        <bottom style="medium">
          <color rgb="FF000000"/>
        </bottom>
      </border>
    </dxf>
    <dxf>
      <font>
        <b/>
        <i val="0"/>
        <strike val="0"/>
        <condense val="0"/>
        <extend val="0"/>
        <outline val="0"/>
        <shadow val="0"/>
        <u val="none"/>
        <vertAlign val="baseline"/>
        <sz val="11"/>
        <color rgb="FF000000"/>
        <name val="Arial"/>
        <scheme val="minor"/>
      </font>
      <fill>
        <patternFill patternType="solid">
          <fgColor indexed="64"/>
          <bgColor rgb="FFF2F2F2"/>
        </patternFill>
      </fill>
      <alignment horizontal="center" vertical="bottom" textRotation="0" wrapText="0" indent="0" justifyLastLine="0" shrinkToFit="0" readingOrder="0"/>
      <border diagonalUp="0" diagonalDown="0">
        <left style="thin">
          <color rgb="FFBFBFBF"/>
        </left>
        <right style="thin">
          <color rgb="FFBFBFBF"/>
        </right>
        <top/>
        <bottom/>
      </border>
    </dxf>
    <dxf>
      <font>
        <b val="0"/>
        <i val="0"/>
        <strike val="0"/>
        <condense val="0"/>
        <extend val="0"/>
        <outline val="0"/>
        <shadow val="0"/>
        <u val="none"/>
        <vertAlign val="baseline"/>
        <sz val="11"/>
        <color rgb="FF000000"/>
        <name val="Arial"/>
        <scheme val="minor"/>
      </font>
      <fill>
        <patternFill patternType="solid">
          <fgColor indexed="64"/>
          <bgColor rgb="FFFFFFFF"/>
        </patternFill>
      </fill>
    </dxf>
    <dxf>
      <font>
        <b val="0"/>
        <i val="0"/>
        <strike val="0"/>
        <condense val="0"/>
        <extend val="0"/>
        <outline val="0"/>
        <shadow val="0"/>
        <u val="none"/>
        <vertAlign val="baseline"/>
        <sz val="11"/>
        <color rgb="FF000000"/>
        <name val="Arial"/>
        <scheme val="minor"/>
      </font>
      <numFmt numFmtId="34" formatCode="_-&quot;$&quot;\ * #,##0.00_-;\-&quot;$&quot;\ * #,##0.00_-;_-&quot;$&quot;\ * &quot;-&quot;??_-;_-@_-"/>
      <fill>
        <patternFill patternType="solid">
          <fgColor indexed="64"/>
          <bgColor rgb="FFFFFFFF"/>
        </patternFill>
      </fill>
      <border diagonalUp="0" diagonalDown="0">
        <left style="thin">
          <color rgb="FFBFBFBF"/>
        </left>
        <right/>
        <top style="thin">
          <color rgb="FFBFBFBF"/>
        </top>
        <bottom/>
        <vertical/>
        <horizontal/>
      </border>
    </dxf>
    <dxf>
      <font>
        <b val="0"/>
        <i val="0"/>
        <strike val="0"/>
        <condense val="0"/>
        <extend val="0"/>
        <outline val="0"/>
        <shadow val="0"/>
        <u val="none"/>
        <vertAlign val="baseline"/>
        <sz val="11"/>
        <color rgb="FF000000"/>
        <name val="Arial"/>
        <scheme val="minor"/>
      </font>
      <numFmt numFmtId="34" formatCode="_-&quot;$&quot;\ * #,##0.00_-;\-&quot;$&quot;\ * #,##0.00_-;_-&quot;$&quot;\ * &quot;-&quot;??_-;_-@_-"/>
      <fill>
        <patternFill patternType="solid">
          <fgColor indexed="64"/>
          <bgColor rgb="FFFFFFFF"/>
        </patternFill>
      </fill>
      <border diagonalUp="0" diagonalDown="0">
        <left style="thin">
          <color rgb="FFBFBFBF"/>
        </left>
        <right/>
        <top style="thin">
          <color rgb="FFBFBFBF"/>
        </top>
        <bottom/>
        <vertical/>
        <horizontal/>
      </border>
    </dxf>
    <dxf>
      <font>
        <b val="0"/>
        <i val="0"/>
        <strike val="0"/>
        <condense val="0"/>
        <extend val="0"/>
        <outline val="0"/>
        <shadow val="0"/>
        <u val="none"/>
        <vertAlign val="baseline"/>
        <sz val="11"/>
        <color rgb="FF000000"/>
        <name val="Arial"/>
        <scheme val="minor"/>
      </font>
      <numFmt numFmtId="34" formatCode="_-&quot;$&quot;\ * #,##0.00_-;\-&quot;$&quot;\ * #,##0.00_-;_-&quot;$&quot;\ * &quot;-&quot;??_-;_-@_-"/>
      <fill>
        <patternFill patternType="solid">
          <fgColor indexed="64"/>
          <bgColor rgb="FFFFFFFF"/>
        </patternFill>
      </fill>
      <border diagonalUp="0" diagonalDown="0">
        <left style="thin">
          <color rgb="FFBFBFBF"/>
        </left>
        <right/>
        <top style="thin">
          <color rgb="FFBFBFBF"/>
        </top>
        <bottom/>
        <vertical/>
        <horizontal/>
      </border>
    </dxf>
    <dxf>
      <font>
        <b val="0"/>
        <i val="0"/>
        <strike val="0"/>
        <condense val="0"/>
        <extend val="0"/>
        <outline val="0"/>
        <shadow val="0"/>
        <u val="none"/>
        <vertAlign val="baseline"/>
        <sz val="11"/>
        <color rgb="FF000000"/>
        <name val="Arial"/>
        <scheme val="minor"/>
      </font>
      <fill>
        <patternFill patternType="solid">
          <fgColor indexed="64"/>
          <bgColor rgb="FFFFFFFF"/>
        </patternFill>
      </fill>
      <border diagonalUp="0" diagonalDown="0">
        <left style="thin">
          <color rgb="FFBFBFBF"/>
        </left>
        <right/>
        <top style="thin">
          <color rgb="FFBFBFBF"/>
        </top>
        <bottom/>
        <vertical/>
        <horizontal/>
      </border>
    </dxf>
    <dxf>
      <font>
        <b val="0"/>
        <i val="0"/>
        <strike val="0"/>
        <condense val="0"/>
        <extend val="0"/>
        <outline val="0"/>
        <shadow val="0"/>
        <u val="none"/>
        <vertAlign val="baseline"/>
        <sz val="11"/>
        <color rgb="FF000000"/>
        <name val="Arial"/>
        <scheme val="minor"/>
      </font>
      <fill>
        <patternFill patternType="solid">
          <fgColor indexed="64"/>
          <bgColor rgb="FFFFFFFF"/>
        </patternFill>
      </fill>
      <border diagonalUp="0" diagonalDown="0">
        <left style="thin">
          <color rgb="FFBFBFBF"/>
        </left>
        <right/>
        <top style="thin">
          <color rgb="FFBFBFBF"/>
        </top>
        <bottom/>
        <vertical/>
        <horizontal/>
      </border>
    </dxf>
    <dxf>
      <font>
        <b val="0"/>
        <i val="0"/>
        <strike val="0"/>
        <condense val="0"/>
        <extend val="0"/>
        <outline val="0"/>
        <shadow val="0"/>
        <u val="none"/>
        <vertAlign val="baseline"/>
        <sz val="11"/>
        <color rgb="FF000000"/>
        <name val="Arial"/>
        <scheme val="minor"/>
      </font>
    </dxf>
    <dxf>
      <border outline="0">
        <left style="thin">
          <color theme="1"/>
        </left>
        <right style="thin">
          <color theme="1"/>
        </right>
        <top style="thin">
          <color theme="1"/>
        </top>
      </border>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C741DF-91EC-4B5D-AD53-C596F41F457B}" name="TablaCapitulos" displayName="TablaCapitulos" ref="A1:J8" totalsRowShown="0" headerRowDxfId="5" dataDxfId="59" headerRowBorderDxfId="17" tableBorderDxfId="18" totalsRowBorderDxfId="16" dataCellStyle="Moneda">
  <autoFilter ref="A1:J8" xr:uid="{C4C741DF-91EC-4B5D-AD53-C596F41F457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82E98211-F6E0-43D7-B847-745F32084467}" name="CAPÍTULO" dataDxfId="15"/>
    <tableColumn id="2" xr3:uid="{10AAB1BA-CA4D-4D22-AB41-C6DD688095DD}" name="NOMBRE" dataDxfId="14"/>
    <tableColumn id="3" xr3:uid="{01F2E13F-027D-4AFE-A078-70CC646F1CE0}" name="SUMINISTROS" dataDxfId="13" dataCellStyle="Moneda"/>
    <tableColumn id="4" xr3:uid="{159069D2-5878-425E-9E45-5BC66FDF8C0A}" name="OBRA CIVIL" dataDxfId="12" dataCellStyle="Moneda"/>
    <tableColumn id="5" xr3:uid="{17B022FA-C3DE-4C7B-BFAD-27097ACD79F2}" name="SERVICIOS" dataDxfId="11"/>
    <tableColumn id="6" xr3:uid="{05ED6607-C5CA-46B7-9AE9-6C305FA05681}" name="COSTO DIRECTO" dataDxfId="10" dataCellStyle="Moneda"/>
    <tableColumn id="7" xr3:uid="{2A1DE1AD-5F3E-4354-BE7F-650CDB88B4A9}" name="AIU 33% OBRA" dataDxfId="9"/>
    <tableColumn id="8" xr3:uid="{018D81C6-AB31-4F65-96C1-D126BDB4783D}" name="IVA" dataDxfId="8" dataCellStyle="Moneda"/>
    <tableColumn id="9" xr3:uid="{5CBFB66F-9570-4FBE-8317-1B0E7CA1000A}" name="TOTAL CAP (COP)" dataDxfId="7" dataCellStyle="Moneda"/>
    <tableColumn id="10" xr3:uid="{C37C1D25-3654-4F1F-BDCA-B49B059808C1}" name="TOTAL CAP (USD)" dataDxfId="6"/>
  </tableColumns>
  <tableStyleInfo name="TableStyleLight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30572C8-4162-4276-9409-E768E0812AA8}" name="Tabla2" displayName="Tabla2" ref="A1:J134" totalsRowShown="0" headerRowDxfId="52" dataDxfId="53" headerRowBorderDxfId="51" tableBorderDxfId="60">
  <tableColumns count="10">
    <tableColumn id="1" xr3:uid="{9E07EB78-B8A5-4DB5-8617-42B5A43128DD}" name="Capítulo" dataDxfId="3"/>
    <tableColumn id="2" xr3:uid="{4554AFD1-5F88-4EE9-B9DE-4143A66B6EB0}" name="SUB CAP" dataDxfId="4"/>
    <tableColumn id="3" xr3:uid="{46D981F7-A677-44B4-9D03-7D3DAF414EE3}" name="ÍTEM" dataDxfId="2"/>
    <tableColumn id="4" xr3:uid="{E68970D2-EF9D-4F14-B54D-A83B60CFAD52}" name="DESCRIPCIÓN" dataDxfId="0"/>
    <tableColumn id="5" xr3:uid="{432931A9-6F2A-4A27-B0AF-E3684D8BCC4B}" name="TIPO" dataDxfId="1"/>
    <tableColumn id="6" xr3:uid="{F283A678-D497-4E70-9CB6-4CE11A9FBB71}" name="UNIDAD" dataDxfId="58"/>
    <tableColumn id="7" xr3:uid="{1FA48B75-260F-4FD3-B5E0-F0071708FB89}" name="CANTIDAD" dataDxfId="57"/>
    <tableColumn id="8" xr3:uid="{B9DDADBB-6C07-42F8-8BE9-C8E4B59BB9CF}" name="VU (COP)" dataDxfId="56"/>
    <tableColumn id="9" xr3:uid="{BC4B74A3-8E2D-4097-AE8B-F78BCEF0C993}" name="TOTAL (COP)" dataDxfId="55">
      <calculatedColumnFormula>Tabla2[[#This Row],[VU (COP)]]*Tabla2[[#This Row],[CANTIDAD]]</calculatedColumnFormula>
    </tableColumn>
    <tableColumn id="10" xr3:uid="{B46172D9-A1C5-4314-BAE9-3E94A518E715}" name="TOTAL (USD)" dataDxfId="54">
      <calculatedColumnFormula>Tabla2[[#This Row],[TOTAL (COP)]]/$M$1</calculatedColumnFormula>
    </tableColumn>
  </tableColumns>
  <tableStyleInfo name="TableStyleLight1"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B3623DA-4EC7-4144-B8E0-11AEE4DB6193}" name="TablaAIU" displayName="TablaAIU" ref="A4:L11" totalsRowShown="0" headerRowDxfId="19" dataDxfId="50" headerRowBorderDxfId="33" tableBorderDxfId="34" totalsRowBorderDxfId="32" dataCellStyle="Moneda">
  <autoFilter ref="A4:L11" xr:uid="{6B3623DA-4EC7-4144-B8E0-11AEE4DB619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A1A9C06-4042-476C-A5EB-CF6FD8EE743C}" name="CAP" dataDxfId="31"/>
    <tableColumn id="2" xr3:uid="{90FC2C85-9021-4B59-8621-F3FBC5A97795}" name="NOMBRE" dataDxfId="30"/>
    <tableColumn id="3" xr3:uid="{E3651AF1-DA45-44C4-B143-3F42E47CDDFD}" name="CD" dataDxfId="29" dataCellStyle="Moneda"/>
    <tableColumn id="4" xr3:uid="{EA85AF32-0640-4313-8371-A20C50D754F3}" name="Adm 23%" dataDxfId="28" dataCellStyle="Moneda"/>
    <tableColumn id="5" xr3:uid="{43153DAF-CA42-4EF9-9E3F-41318375E853}" name="Imp 5%" dataDxfId="27" dataCellStyle="Moneda"/>
    <tableColumn id="6" xr3:uid="{8CA87BE1-5668-4521-A4EB-F9E05811E3EB}" name="Util 5%" dataDxfId="26" dataCellStyle="Moneda"/>
    <tableColumn id="7" xr3:uid="{4495DBF9-5837-4726-AC43-2771EA06A36E}" name="AIU Total" dataDxfId="25" dataCellStyle="Moneda"/>
    <tableColumn id="8" xr3:uid="{876282A1-6364-457E-AC45-303043E8D511}" name="IVA Sum" dataDxfId="24" dataCellStyle="Moneda"/>
    <tableColumn id="9" xr3:uid="{82BEC00C-56FB-43CF-B64F-E590CAE4B20F}" name="IVA Serv" dataDxfId="23" dataCellStyle="Moneda"/>
    <tableColumn id="10" xr3:uid="{2E2C4718-A686-47F5-92D5-9C356830C444}" name="IVA Util" dataDxfId="22" dataCellStyle="Moneda"/>
    <tableColumn id="11" xr3:uid="{5F881ACA-AF49-4CA9-986B-1254DEF72BF9}" name="IVA Total" dataDxfId="21" dataCellStyle="Moneda"/>
    <tableColumn id="12" xr3:uid="{BFDA5732-5F1C-440A-83C0-44E3A7C70531}" name="TOTAL CAP" dataDxfId="20" dataCellStyle="Moneda"/>
  </tableColumns>
  <tableStyleInfo name="TableStyleLight1"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9A5F8E8-3AA5-4C06-84B3-D82C96CAD3B8}" name="TablaRFQ" displayName="TablaRFQ" ref="A4:F13" totalsRowShown="0" headerRowDxfId="35" dataDxfId="49" headerRowBorderDxfId="43" tableBorderDxfId="44" totalsRowBorderDxfId="42">
  <autoFilter ref="A4:F13" xr:uid="{99A5F8E8-3AA5-4C06-84B3-D82C96CAD3B8}">
    <filterColumn colId="0" hiddenButton="1"/>
    <filterColumn colId="1" hiddenButton="1"/>
    <filterColumn colId="2" hiddenButton="1"/>
    <filterColumn colId="3" hiddenButton="1"/>
    <filterColumn colId="4" hiddenButton="1"/>
    <filterColumn colId="5" hiddenButton="1"/>
  </autoFilter>
  <tableColumns count="6">
    <tableColumn id="1" xr3:uid="{F9BC9393-EF79-48D4-886D-3E932C20E941}" name="ÍTEM WBS" dataDxfId="41"/>
    <tableColumn id="2" xr3:uid="{A0E398C5-2959-4BD6-9F51-56E87CBBABE4}" name="CONCEPTO" dataDxfId="40"/>
    <tableColumn id="3" xr3:uid="{6AA7BCA3-0803-4D3F-B514-85FDEAFC5F75}" name="VU ACTUAL" dataDxfId="39"/>
    <tableColumn id="4" xr3:uid="{5630DA1F-E03E-4EC4-B535-8B60C3099A3B}" name="FUENTE" dataDxfId="38"/>
    <tableColumn id="5" xr3:uid="{02E11D87-1B24-4EF5-8A37-9A4ED8942E56}" name="ESTADO" dataDxfId="37"/>
    <tableColumn id="6" xr3:uid="{40775B45-3701-4FBD-BF06-A990C8F05952}" name="PROVEEDORES PRIORIZADOS" dataDxfId="36"/>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81"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7BE37B3-A9E2-4A4D-A70D-664CD305BFDB}">
  <we:reference id="WA200009404" version="1.0.0.8" store="Omex" storeType="OMEX"/>
  <we:alternateReferences>
    <we:reference id="WA200009404" version="1.0.0.8" store="WA200009404" storeType="OMEX"/>
  </we:alternateReferences>
  <we:properties>
    <we:property name="claude.fileId" value="&quot;fc5cfd51-bd4b-4556-ac5e-b3d6fca8e8d8&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055B0-9F50-4D1F-B4A6-E87BDB1501EA}">
  <dimension ref="A1:F49"/>
  <sheetViews>
    <sheetView topLeftCell="A8" workbookViewId="0">
      <selection activeCell="A31" sqref="A31:F31"/>
    </sheetView>
  </sheetViews>
  <sheetFormatPr baseColWidth="10" defaultRowHeight="15.75" x14ac:dyDescent="0.25"/>
  <cols>
    <col min="1" max="1" width="51.625" customWidth="1"/>
    <col min="2" max="2" width="17.875" customWidth="1"/>
    <col min="3" max="3" width="22" bestFit="1" customWidth="1"/>
    <col min="4" max="4" width="31.25" customWidth="1"/>
    <col min="5" max="5" width="20" customWidth="1"/>
    <col min="6" max="6" width="15" customWidth="1"/>
  </cols>
  <sheetData>
    <row r="1" spans="1:6" ht="32.1" customHeight="1" x14ac:dyDescent="0.25">
      <c r="A1" s="143" t="s">
        <v>464</v>
      </c>
      <c r="B1" s="144"/>
      <c r="C1" s="144"/>
      <c r="D1" s="144"/>
      <c r="E1" s="144"/>
      <c r="F1" s="145"/>
    </row>
    <row r="2" spans="1:6" x14ac:dyDescent="0.25">
      <c r="A2" s="146" t="s">
        <v>465</v>
      </c>
      <c r="B2" s="147"/>
      <c r="C2" s="147"/>
      <c r="D2" s="147"/>
      <c r="E2" s="147"/>
      <c r="F2" s="148"/>
    </row>
    <row r="3" spans="1:6" x14ac:dyDescent="0.25">
      <c r="A3" s="79"/>
      <c r="B3" s="79"/>
      <c r="C3" s="79"/>
      <c r="D3" s="79"/>
      <c r="E3" s="79"/>
      <c r="F3" s="79"/>
    </row>
    <row r="4" spans="1:6" x14ac:dyDescent="0.25">
      <c r="A4" s="149" t="s">
        <v>508</v>
      </c>
      <c r="B4" s="150"/>
      <c r="C4" s="150"/>
      <c r="D4" s="150"/>
      <c r="E4" s="150"/>
      <c r="F4" s="151"/>
    </row>
    <row r="5" spans="1:6" s="3" customFormat="1" ht="18.75" customHeight="1" x14ac:dyDescent="0.25">
      <c r="A5" s="152" t="s">
        <v>466</v>
      </c>
      <c r="B5" s="153"/>
      <c r="C5" s="153"/>
      <c r="D5" s="153"/>
      <c r="E5" s="153"/>
      <c r="F5" s="154"/>
    </row>
    <row r="6" spans="1:6" x14ac:dyDescent="0.25">
      <c r="A6" s="79"/>
      <c r="B6" s="79"/>
      <c r="C6" s="79"/>
      <c r="D6" s="79"/>
      <c r="E6" s="79"/>
      <c r="F6" s="79"/>
    </row>
    <row r="7" spans="1:6" x14ac:dyDescent="0.25">
      <c r="A7" s="102" t="s">
        <v>467</v>
      </c>
      <c r="B7" s="102"/>
      <c r="C7" s="102"/>
      <c r="D7" s="102"/>
      <c r="E7" s="102"/>
      <c r="F7" s="41"/>
    </row>
    <row r="8" spans="1:6" x14ac:dyDescent="0.25">
      <c r="A8" s="132" t="s">
        <v>468</v>
      </c>
      <c r="B8" s="158" t="s">
        <v>469</v>
      </c>
      <c r="C8" s="158" t="s">
        <v>470</v>
      </c>
      <c r="D8" s="158" t="s">
        <v>471</v>
      </c>
      <c r="E8" s="158" t="s">
        <v>472</v>
      </c>
      <c r="F8" s="131" t="s">
        <v>515</v>
      </c>
    </row>
    <row r="9" spans="1:6" x14ac:dyDescent="0.25">
      <c r="A9" s="132" t="s">
        <v>473</v>
      </c>
      <c r="B9" s="159">
        <v>324107</v>
      </c>
      <c r="C9" s="160">
        <v>73660779</v>
      </c>
      <c r="D9" s="160">
        <v>89113371</v>
      </c>
      <c r="E9" s="132" t="s">
        <v>474</v>
      </c>
      <c r="F9" s="131" t="s">
        <v>442</v>
      </c>
    </row>
    <row r="10" spans="1:6" x14ac:dyDescent="0.25">
      <c r="A10" s="161" t="s">
        <v>475</v>
      </c>
      <c r="B10" s="162">
        <f>'1.Total General'!C8/1000000</f>
        <v>260009.51289700001</v>
      </c>
      <c r="C10" s="163">
        <f>'1.Total General'!D8</f>
        <v>59093071</v>
      </c>
      <c r="D10" s="163">
        <f>'1.Total General'!C8/3637</f>
        <v>71490105.278251305</v>
      </c>
      <c r="E10" s="164">
        <f>C10-C9</f>
        <v>-14567708</v>
      </c>
      <c r="F10" s="165">
        <f>E10/C9</f>
        <v>-0.19776749849468739</v>
      </c>
    </row>
    <row r="11" spans="1:6" x14ac:dyDescent="0.25">
      <c r="A11" s="135" t="s">
        <v>476</v>
      </c>
      <c r="B11" s="166">
        <v>252251</v>
      </c>
      <c r="C11" s="167">
        <v>57329855</v>
      </c>
      <c r="D11" s="167">
        <v>69356571</v>
      </c>
      <c r="E11" s="168">
        <f>C11-C9</f>
        <v>-16330924</v>
      </c>
      <c r="F11" s="169">
        <f>E11/C9</f>
        <v>-0.22170447043466646</v>
      </c>
    </row>
    <row r="12" spans="1:6" x14ac:dyDescent="0.25">
      <c r="A12" s="79"/>
      <c r="B12" s="79"/>
      <c r="C12" s="79"/>
      <c r="D12" s="79"/>
      <c r="E12" s="79"/>
      <c r="F12" s="79"/>
    </row>
    <row r="13" spans="1:6" x14ac:dyDescent="0.25">
      <c r="A13" s="102" t="s">
        <v>477</v>
      </c>
      <c r="B13" s="102"/>
      <c r="C13" s="102"/>
      <c r="D13" s="102"/>
      <c r="E13" s="102"/>
      <c r="F13" s="41"/>
    </row>
    <row r="14" spans="1:6" ht="33.75" customHeight="1" x14ac:dyDescent="0.25">
      <c r="A14" s="155" t="s">
        <v>478</v>
      </c>
      <c r="B14" s="156"/>
      <c r="C14" s="156"/>
      <c r="D14" s="156"/>
      <c r="E14" s="156"/>
      <c r="F14" s="157"/>
    </row>
    <row r="15" spans="1:6" x14ac:dyDescent="0.25">
      <c r="A15" s="79"/>
      <c r="B15" s="79"/>
      <c r="C15" s="79"/>
      <c r="D15" s="79"/>
      <c r="E15" s="79"/>
      <c r="F15" s="79"/>
    </row>
    <row r="16" spans="1:6" x14ac:dyDescent="0.25">
      <c r="A16" s="102" t="s">
        <v>479</v>
      </c>
      <c r="B16" s="102"/>
      <c r="C16" s="102"/>
      <c r="D16" s="102"/>
      <c r="E16" s="102"/>
      <c r="F16" s="41"/>
    </row>
    <row r="17" spans="1:6" x14ac:dyDescent="0.25">
      <c r="A17" s="132" t="s">
        <v>480</v>
      </c>
      <c r="B17" s="131" t="s">
        <v>4</v>
      </c>
      <c r="C17" s="131" t="s">
        <v>481</v>
      </c>
      <c r="D17" s="132" t="s">
        <v>482</v>
      </c>
      <c r="E17" s="133"/>
      <c r="F17" s="133"/>
    </row>
    <row r="18" spans="1:6" x14ac:dyDescent="0.25">
      <c r="A18" s="135" t="s">
        <v>483</v>
      </c>
      <c r="B18" s="140" t="s">
        <v>484</v>
      </c>
      <c r="C18" s="172" t="s">
        <v>514</v>
      </c>
      <c r="D18" s="135" t="s">
        <v>485</v>
      </c>
      <c r="E18" s="135"/>
      <c r="F18" s="135"/>
    </row>
    <row r="19" spans="1:6" x14ac:dyDescent="0.25">
      <c r="A19" s="135" t="s">
        <v>486</v>
      </c>
      <c r="B19" s="140" t="s">
        <v>487</v>
      </c>
      <c r="C19" s="170" t="s">
        <v>488</v>
      </c>
      <c r="D19" s="135" t="s">
        <v>489</v>
      </c>
      <c r="E19" s="135"/>
      <c r="F19" s="135"/>
    </row>
    <row r="20" spans="1:6" x14ac:dyDescent="0.25">
      <c r="A20" s="135" t="s">
        <v>490</v>
      </c>
      <c r="B20" s="140" t="s">
        <v>491</v>
      </c>
      <c r="C20" s="171" t="s">
        <v>492</v>
      </c>
      <c r="D20" s="135" t="s">
        <v>493</v>
      </c>
      <c r="E20" s="135"/>
      <c r="F20" s="135"/>
    </row>
    <row r="21" spans="1:6" x14ac:dyDescent="0.25">
      <c r="A21" s="130"/>
      <c r="B21" s="130"/>
      <c r="C21" s="130"/>
      <c r="D21" s="130"/>
      <c r="E21" s="130"/>
      <c r="F21" s="130"/>
    </row>
    <row r="22" spans="1:6" x14ac:dyDescent="0.25">
      <c r="A22" s="13" t="s">
        <v>494</v>
      </c>
      <c r="B22" s="13"/>
      <c r="C22" s="13"/>
      <c r="D22" s="13"/>
      <c r="E22" s="13"/>
      <c r="F22" s="51"/>
    </row>
    <row r="23" spans="1:6" x14ac:dyDescent="0.25">
      <c r="A23" s="131" t="s">
        <v>495</v>
      </c>
      <c r="B23" s="138" t="s">
        <v>496</v>
      </c>
      <c r="C23" s="138"/>
      <c r="D23" s="141" t="s">
        <v>497</v>
      </c>
      <c r="E23" s="141"/>
      <c r="F23" s="133"/>
    </row>
    <row r="24" spans="1:6" ht="38.1" customHeight="1" x14ac:dyDescent="0.25">
      <c r="A24" s="131">
        <v>1</v>
      </c>
      <c r="B24" s="139" t="s">
        <v>498</v>
      </c>
      <c r="C24" s="139"/>
      <c r="D24" s="134" t="s">
        <v>499</v>
      </c>
      <c r="E24" s="134"/>
      <c r="F24" s="135"/>
    </row>
    <row r="25" spans="1:6" ht="29.25" customHeight="1" x14ac:dyDescent="0.25">
      <c r="A25" s="131">
        <v>2</v>
      </c>
      <c r="B25" s="139" t="s">
        <v>500</v>
      </c>
      <c r="C25" s="139"/>
      <c r="D25" s="134" t="s">
        <v>501</v>
      </c>
      <c r="E25" s="134"/>
      <c r="F25" s="135"/>
    </row>
    <row r="26" spans="1:6" ht="29.25" customHeight="1" x14ac:dyDescent="0.25">
      <c r="A26" s="131">
        <v>3</v>
      </c>
      <c r="B26" s="139" t="s">
        <v>502</v>
      </c>
      <c r="C26" s="139"/>
      <c r="D26" s="134" t="s">
        <v>503</v>
      </c>
      <c r="E26" s="134"/>
      <c r="F26" s="135"/>
    </row>
    <row r="27" spans="1:6" ht="29.25" customHeight="1" x14ac:dyDescent="0.25">
      <c r="A27" s="131">
        <v>4</v>
      </c>
      <c r="B27" s="139" t="s">
        <v>504</v>
      </c>
      <c r="C27" s="139"/>
      <c r="D27" s="134" t="s">
        <v>505</v>
      </c>
      <c r="E27" s="134"/>
      <c r="F27" s="135"/>
    </row>
    <row r="28" spans="1:6" x14ac:dyDescent="0.25">
      <c r="A28" s="136" t="s">
        <v>506</v>
      </c>
      <c r="B28" s="136"/>
      <c r="C28" s="2"/>
      <c r="D28" s="142" t="s">
        <v>507</v>
      </c>
      <c r="E28" s="142"/>
      <c r="F28" s="132"/>
    </row>
    <row r="29" spans="1:6" x14ac:dyDescent="0.25">
      <c r="A29" s="137"/>
      <c r="B29" s="137"/>
      <c r="C29" s="137"/>
      <c r="D29" s="137"/>
      <c r="E29" s="137"/>
      <c r="F29" s="137"/>
    </row>
    <row r="30" spans="1:6" x14ac:dyDescent="0.25">
      <c r="A30" s="127" t="s">
        <v>17</v>
      </c>
      <c r="B30" s="127"/>
      <c r="C30" s="127"/>
      <c r="D30" s="127"/>
      <c r="E30" s="127"/>
      <c r="F30" s="127"/>
    </row>
    <row r="31" spans="1:6" x14ac:dyDescent="0.25">
      <c r="A31" s="128" t="s">
        <v>509</v>
      </c>
      <c r="B31" s="128"/>
      <c r="C31" s="128"/>
      <c r="D31" s="128"/>
      <c r="E31" s="128"/>
      <c r="F31" s="128"/>
    </row>
    <row r="32" spans="1:6" x14ac:dyDescent="0.25">
      <c r="A32" s="128" t="s">
        <v>510</v>
      </c>
      <c r="B32" s="128"/>
      <c r="C32" s="128"/>
      <c r="D32" s="128"/>
      <c r="E32" s="128"/>
      <c r="F32" s="128"/>
    </row>
    <row r="33" spans="1:6" x14ac:dyDescent="0.25">
      <c r="A33" s="128" t="s">
        <v>511</v>
      </c>
      <c r="B33" s="128"/>
      <c r="C33" s="128"/>
      <c r="D33" s="128"/>
      <c r="E33" s="128"/>
      <c r="F33" s="128"/>
    </row>
    <row r="34" spans="1:6" x14ac:dyDescent="0.25">
      <c r="A34" s="128" t="s">
        <v>512</v>
      </c>
      <c r="B34" s="128"/>
      <c r="C34" s="128"/>
      <c r="D34" s="128"/>
      <c r="E34" s="128"/>
      <c r="F34" s="128"/>
    </row>
    <row r="35" spans="1:6" ht="32.25" customHeight="1" x14ac:dyDescent="0.25">
      <c r="A35" s="129" t="s">
        <v>513</v>
      </c>
      <c r="B35" s="129"/>
      <c r="C35" s="129"/>
      <c r="D35" s="129"/>
      <c r="E35" s="129"/>
      <c r="F35" s="129"/>
    </row>
    <row r="36" spans="1:6" x14ac:dyDescent="0.25">
      <c r="A36" s="1"/>
      <c r="B36" s="1"/>
      <c r="C36" s="1"/>
      <c r="D36" s="1"/>
      <c r="E36" s="1"/>
    </row>
    <row r="37" spans="1:6" x14ac:dyDescent="0.25">
      <c r="A37" s="1"/>
      <c r="B37" s="1"/>
      <c r="C37" s="1"/>
      <c r="D37" s="1"/>
      <c r="E37" s="1"/>
    </row>
    <row r="38" spans="1:6" x14ac:dyDescent="0.25">
      <c r="A38" s="1"/>
      <c r="B38" s="1"/>
      <c r="C38" s="1"/>
      <c r="D38" s="1"/>
      <c r="E38" s="1"/>
    </row>
    <row r="39" spans="1:6" x14ac:dyDescent="0.25">
      <c r="A39" s="1"/>
      <c r="B39" s="1"/>
      <c r="C39" s="1"/>
      <c r="D39" s="1"/>
      <c r="E39" s="1"/>
    </row>
    <row r="40" spans="1:6" x14ac:dyDescent="0.25">
      <c r="A40" s="1"/>
      <c r="B40" s="1"/>
      <c r="C40" s="1"/>
      <c r="D40" s="1"/>
      <c r="E40" s="1"/>
    </row>
    <row r="41" spans="1:6" x14ac:dyDescent="0.25">
      <c r="A41" s="1"/>
      <c r="B41" s="1"/>
      <c r="C41" s="1"/>
      <c r="D41" s="1"/>
      <c r="E41" s="1"/>
    </row>
    <row r="42" spans="1:6" x14ac:dyDescent="0.25">
      <c r="A42" s="1"/>
      <c r="B42" s="1"/>
      <c r="C42" s="1"/>
      <c r="D42" s="1"/>
      <c r="E42" s="1"/>
    </row>
    <row r="43" spans="1:6" x14ac:dyDescent="0.25">
      <c r="A43" s="1"/>
      <c r="B43" s="1"/>
      <c r="C43" s="1"/>
      <c r="D43" s="1"/>
      <c r="E43" s="1"/>
    </row>
    <row r="44" spans="1:6" x14ac:dyDescent="0.25">
      <c r="A44" s="1"/>
      <c r="B44" s="1"/>
      <c r="C44" s="1"/>
      <c r="D44" s="1"/>
      <c r="E44" s="1"/>
    </row>
    <row r="45" spans="1:6" x14ac:dyDescent="0.25">
      <c r="A45" s="1"/>
      <c r="B45" s="1"/>
      <c r="C45" s="1"/>
      <c r="D45" s="1"/>
      <c r="E45" s="1"/>
    </row>
    <row r="46" spans="1:6" x14ac:dyDescent="0.25">
      <c r="A46" s="1"/>
      <c r="B46" s="1"/>
      <c r="C46" s="1"/>
      <c r="D46" s="1"/>
      <c r="E46" s="1"/>
    </row>
    <row r="47" spans="1:6" x14ac:dyDescent="0.25">
      <c r="A47" s="1"/>
      <c r="B47" s="1"/>
      <c r="C47" s="1"/>
      <c r="D47" s="1"/>
      <c r="E47" s="1"/>
    </row>
    <row r="48" spans="1:6" x14ac:dyDescent="0.25">
      <c r="A48" s="1"/>
      <c r="B48" s="1"/>
      <c r="C48" s="1"/>
      <c r="D48" s="1"/>
      <c r="E48" s="1"/>
    </row>
    <row r="49" spans="1:5" x14ac:dyDescent="0.25">
      <c r="A49" s="1"/>
      <c r="B49" s="1"/>
      <c r="C49" s="1"/>
      <c r="D49" s="1"/>
      <c r="E49" s="1"/>
    </row>
  </sheetData>
  <mergeCells count="21">
    <mergeCell ref="A14:F14"/>
    <mergeCell ref="B25:C25"/>
    <mergeCell ref="B26:C26"/>
    <mergeCell ref="B27:C27"/>
    <mergeCell ref="A31:F31"/>
    <mergeCell ref="A32:F32"/>
    <mergeCell ref="A33:F33"/>
    <mergeCell ref="A34:F34"/>
    <mergeCell ref="A35:F35"/>
    <mergeCell ref="A30:F30"/>
    <mergeCell ref="A16:E16"/>
    <mergeCell ref="A22:E22"/>
    <mergeCell ref="A28:B28"/>
    <mergeCell ref="B23:C23"/>
    <mergeCell ref="B24:C24"/>
    <mergeCell ref="A1:F1"/>
    <mergeCell ref="A2:F2"/>
    <mergeCell ref="A4:F4"/>
    <mergeCell ref="A5:F5"/>
    <mergeCell ref="A7:E7"/>
    <mergeCell ref="A13:E13"/>
  </mergeCells>
  <pageMargins left="0.59027777777777779" right="0.59027777777777779" top="0.59027777777777779" bottom="0.59027777777777779"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9"/>
  <sheetViews>
    <sheetView workbookViewId="0">
      <pane ySplit="3" topLeftCell="A4" activePane="bottomLeft" state="frozen"/>
      <selection pane="bottomLeft" activeCell="A14" sqref="A14:E14"/>
    </sheetView>
  </sheetViews>
  <sheetFormatPr baseColWidth="10" defaultRowHeight="15" x14ac:dyDescent="0.25"/>
  <cols>
    <col min="1" max="1" width="46.625" customWidth="1"/>
    <col min="2" max="2" width="3.375" customWidth="1"/>
    <col min="3" max="3" width="19.75" bestFit="1" customWidth="1"/>
    <col min="4" max="4" width="15.125" bestFit="1" customWidth="1"/>
    <col min="5" max="5" width="23.875" customWidth="1"/>
  </cols>
  <sheetData>
    <row r="1" spans="1:5" ht="32.1" customHeight="1" x14ac:dyDescent="0.25">
      <c r="A1" s="119" t="s">
        <v>0</v>
      </c>
      <c r="B1" s="119"/>
      <c r="C1" s="119"/>
      <c r="D1" s="119"/>
      <c r="E1" s="119"/>
    </row>
    <row r="2" spans="1:5" ht="15.75" x14ac:dyDescent="0.25">
      <c r="A2" s="39" t="s">
        <v>1</v>
      </c>
      <c r="B2" s="39"/>
      <c r="C2" s="39"/>
      <c r="D2" s="39"/>
      <c r="E2" s="39"/>
    </row>
    <row r="3" spans="1:5" ht="15.75" x14ac:dyDescent="0.25">
      <c r="A3" s="79"/>
      <c r="B3" s="79"/>
      <c r="C3" s="79"/>
      <c r="D3" s="79"/>
      <c r="E3" s="120" t="s">
        <v>456</v>
      </c>
    </row>
    <row r="4" spans="1:5" ht="24" customHeight="1" x14ac:dyDescent="0.25">
      <c r="A4" s="102" t="s">
        <v>2</v>
      </c>
      <c r="B4" s="102"/>
      <c r="C4" s="102"/>
      <c r="D4" s="102"/>
      <c r="E4" s="102"/>
    </row>
    <row r="5" spans="1:5" ht="15.75" x14ac:dyDescent="0.25">
      <c r="A5" s="103" t="s">
        <v>5</v>
      </c>
      <c r="B5" s="79" t="s">
        <v>3</v>
      </c>
      <c r="C5" s="104">
        <v>211191318560</v>
      </c>
      <c r="D5" s="104">
        <v>47998027</v>
      </c>
      <c r="E5" s="105">
        <f>C5/3637</f>
        <v>58067450.800109982</v>
      </c>
    </row>
    <row r="6" spans="1:5" ht="15.75" x14ac:dyDescent="0.25">
      <c r="A6" s="106" t="s">
        <v>6</v>
      </c>
      <c r="B6" s="107" t="s">
        <v>3</v>
      </c>
      <c r="C6" s="108">
        <v>19186009747</v>
      </c>
      <c r="D6" s="108">
        <v>4360457</v>
      </c>
      <c r="E6" s="105">
        <f>C6/3637</f>
        <v>5275229.5152598293</v>
      </c>
    </row>
    <row r="7" spans="1:5" ht="15.75" x14ac:dyDescent="0.25">
      <c r="A7" s="103" t="s">
        <v>7</v>
      </c>
      <c r="B7" s="79" t="s">
        <v>3</v>
      </c>
      <c r="C7" s="104">
        <v>29632184590</v>
      </c>
      <c r="D7" s="104">
        <v>6734587</v>
      </c>
      <c r="E7" s="105">
        <f>C7/3637</f>
        <v>8147424.9628814962</v>
      </c>
    </row>
    <row r="8" spans="1:5" ht="15.75" x14ac:dyDescent="0.25">
      <c r="A8" s="109" t="s">
        <v>8</v>
      </c>
      <c r="B8" s="109" t="s">
        <v>3</v>
      </c>
      <c r="C8" s="110">
        <v>260009512897</v>
      </c>
      <c r="D8" s="110">
        <v>59093071</v>
      </c>
      <c r="E8" s="111">
        <f>C8/3637</f>
        <v>71490105.278251305</v>
      </c>
    </row>
    <row r="9" spans="1:5" ht="15.75" x14ac:dyDescent="0.25">
      <c r="A9" s="79"/>
      <c r="B9" s="79"/>
      <c r="C9" s="79"/>
      <c r="D9" s="79"/>
      <c r="E9" s="79"/>
    </row>
    <row r="10" spans="1:5" ht="24" customHeight="1" x14ac:dyDescent="0.25">
      <c r="A10" s="102" t="s">
        <v>9</v>
      </c>
      <c r="B10" s="102"/>
      <c r="C10" s="102"/>
      <c r="D10" s="102"/>
      <c r="E10" s="102"/>
    </row>
    <row r="11" spans="1:5" ht="15.75" x14ac:dyDescent="0.25">
      <c r="A11" s="103" t="s">
        <v>10</v>
      </c>
      <c r="B11" s="79" t="s">
        <v>3</v>
      </c>
      <c r="C11" s="104">
        <v>148755895087</v>
      </c>
      <c r="D11" s="104">
        <v>33808158</v>
      </c>
      <c r="E11" s="105">
        <f>C11/3637</f>
        <v>40900713.52405829</v>
      </c>
    </row>
    <row r="12" spans="1:5" ht="15.75" x14ac:dyDescent="0.25">
      <c r="A12" s="106" t="s">
        <v>11</v>
      </c>
      <c r="B12" s="107" t="s">
        <v>3</v>
      </c>
      <c r="C12" s="108">
        <v>58139423473</v>
      </c>
      <c r="D12" s="108">
        <v>13213505</v>
      </c>
      <c r="E12" s="112">
        <f>C12/3637</f>
        <v>15985543.984877646</v>
      </c>
    </row>
    <row r="13" spans="1:5" ht="15.75" x14ac:dyDescent="0.25">
      <c r="A13" s="103" t="s">
        <v>12</v>
      </c>
      <c r="B13" s="79" t="s">
        <v>3</v>
      </c>
      <c r="C13" s="104">
        <v>4296000000</v>
      </c>
      <c r="D13" s="104">
        <v>976364</v>
      </c>
      <c r="E13" s="105">
        <f>C13/3637</f>
        <v>1181193.2911740446</v>
      </c>
    </row>
    <row r="14" spans="1:5" ht="24" customHeight="1" x14ac:dyDescent="0.25">
      <c r="A14" s="121"/>
      <c r="B14" s="121"/>
      <c r="C14" s="121"/>
      <c r="D14" s="121"/>
      <c r="E14" s="121"/>
    </row>
    <row r="15" spans="1:5" ht="15.75" x14ac:dyDescent="0.25">
      <c r="A15" s="113" t="s">
        <v>13</v>
      </c>
      <c r="B15" s="113"/>
      <c r="C15" s="113"/>
      <c r="D15" s="113"/>
      <c r="E15" s="113"/>
    </row>
    <row r="16" spans="1:5" ht="15.75" x14ac:dyDescent="0.25">
      <c r="A16" s="103" t="s">
        <v>14</v>
      </c>
      <c r="B16" s="79" t="s">
        <v>3</v>
      </c>
      <c r="C16" s="114">
        <v>4400</v>
      </c>
      <c r="D16" s="115"/>
      <c r="E16" s="115"/>
    </row>
    <row r="17" spans="1:5" ht="15.75" x14ac:dyDescent="0.25">
      <c r="A17" s="106" t="s">
        <v>15</v>
      </c>
      <c r="B17" s="107" t="s">
        <v>3</v>
      </c>
      <c r="C17" s="116">
        <v>1.0900000000000001</v>
      </c>
      <c r="D17" s="117"/>
      <c r="E17" s="117"/>
    </row>
    <row r="18" spans="1:5" ht="24" customHeight="1" x14ac:dyDescent="0.25">
      <c r="A18" s="106" t="s">
        <v>16</v>
      </c>
      <c r="B18" s="106"/>
      <c r="C18" s="118">
        <f>C16*C17</f>
        <v>4796</v>
      </c>
      <c r="D18" s="106"/>
      <c r="E18" s="106"/>
    </row>
    <row r="19" spans="1:5" ht="15.75" x14ac:dyDescent="0.25">
      <c r="A19" s="122"/>
      <c r="B19" s="122"/>
      <c r="C19" s="122"/>
      <c r="D19" s="122"/>
      <c r="E19" s="122"/>
    </row>
    <row r="20" spans="1:5" ht="15.75" x14ac:dyDescent="0.25">
      <c r="A20" s="123" t="s">
        <v>17</v>
      </c>
      <c r="B20" s="39"/>
      <c r="C20" s="39"/>
      <c r="D20" s="39"/>
      <c r="E20" s="39"/>
    </row>
    <row r="21" spans="1:5" ht="15.75" x14ac:dyDescent="0.25">
      <c r="A21" s="39" t="s">
        <v>18</v>
      </c>
      <c r="B21" s="39"/>
      <c r="C21" s="39"/>
      <c r="D21" s="39"/>
      <c r="E21" s="39"/>
    </row>
    <row r="22" spans="1:5" ht="15.75" x14ac:dyDescent="0.25">
      <c r="A22" s="39" t="s">
        <v>19</v>
      </c>
      <c r="B22" s="39"/>
      <c r="C22" s="39"/>
      <c r="D22" s="39"/>
      <c r="E22" s="39"/>
    </row>
    <row r="23" spans="1:5" ht="15.75" x14ac:dyDescent="0.25">
      <c r="A23" s="39" t="s">
        <v>20</v>
      </c>
      <c r="B23" s="39"/>
      <c r="C23" s="39"/>
      <c r="D23" s="39"/>
      <c r="E23" s="39"/>
    </row>
    <row r="24" spans="1:5" ht="15.75" x14ac:dyDescent="0.25">
      <c r="A24" s="43" t="s">
        <v>21</v>
      </c>
      <c r="B24" s="43"/>
      <c r="C24" s="43"/>
      <c r="D24" s="43"/>
      <c r="E24" s="43"/>
    </row>
    <row r="25" spans="1:5" ht="15.75" x14ac:dyDescent="0.25">
      <c r="A25" s="79"/>
      <c r="B25" s="79"/>
      <c r="C25" s="79"/>
      <c r="D25" s="79"/>
      <c r="E25" s="79"/>
    </row>
    <row r="26" spans="1:5" ht="24" customHeight="1" x14ac:dyDescent="0.25">
      <c r="A26" s="124" t="s">
        <v>457</v>
      </c>
      <c r="B26" s="124"/>
      <c r="C26" s="124"/>
      <c r="D26" s="124"/>
      <c r="E26" s="124"/>
    </row>
    <row r="27" spans="1:5" ht="15.75" x14ac:dyDescent="0.25">
      <c r="A27" s="125" t="s">
        <v>458</v>
      </c>
      <c r="B27" s="125"/>
      <c r="C27" s="125"/>
      <c r="D27" s="125"/>
      <c r="E27" s="125"/>
    </row>
    <row r="28" spans="1:5" ht="15.75" x14ac:dyDescent="0.25">
      <c r="A28" s="125" t="s">
        <v>459</v>
      </c>
      <c r="B28" s="125"/>
      <c r="C28" s="125"/>
      <c r="D28" s="125"/>
      <c r="E28" s="125"/>
    </row>
    <row r="29" spans="1:5" ht="15.75" x14ac:dyDescent="0.25"/>
  </sheetData>
  <mergeCells count="14">
    <mergeCell ref="A14:E14"/>
    <mergeCell ref="A19:E19"/>
    <mergeCell ref="A21:E21"/>
    <mergeCell ref="A22:E22"/>
    <mergeCell ref="A23:E23"/>
    <mergeCell ref="A26:E26"/>
    <mergeCell ref="A27:E27"/>
    <mergeCell ref="A28:E28"/>
    <mergeCell ref="A1:E1"/>
    <mergeCell ref="A2:E2"/>
    <mergeCell ref="A4:E4"/>
    <mergeCell ref="A10:E10"/>
    <mergeCell ref="A15:E15"/>
    <mergeCell ref="A20:E20"/>
  </mergeCells>
  <pageMargins left="0.5" right="0.5" top="0.5" bottom="0.5" header="0.25" footer="0.25"/>
  <pageSetup paperSize="9" orientation="landscape" r:id="rId1"/>
  <ignoredErrors>
    <ignoredError sqref="A3:D3 A1 A5:D9 A4 A11:D13 A10 A16:D17 A24:D24 A18 A20 A21 A22 A23 A2 A15"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
  <sheetViews>
    <sheetView workbookViewId="0">
      <selection activeCell="B8" sqref="B8"/>
    </sheetView>
  </sheetViews>
  <sheetFormatPr baseColWidth="10" defaultRowHeight="15.75" x14ac:dyDescent="0.25"/>
  <cols>
    <col min="1" max="1" width="10.25" customWidth="1"/>
    <col min="2" max="2" width="38.375" bestFit="1" customWidth="1"/>
    <col min="3" max="3" width="19.75" bestFit="1" customWidth="1"/>
    <col min="4" max="4" width="18.75" bestFit="1" customWidth="1"/>
    <col min="5" max="5" width="17.75" bestFit="1" customWidth="1"/>
    <col min="6" max="6" width="23.625" customWidth="1"/>
    <col min="7" max="8" width="18.75" bestFit="1" customWidth="1"/>
    <col min="9" max="9" width="19.75" bestFit="1" customWidth="1"/>
    <col min="10" max="10" width="17.25" bestFit="1" customWidth="1"/>
  </cols>
  <sheetData>
    <row r="1" spans="1:10" ht="27.95" customHeight="1" x14ac:dyDescent="0.25">
      <c r="A1" s="64" t="s">
        <v>22</v>
      </c>
      <c r="B1" s="65" t="s">
        <v>23</v>
      </c>
      <c r="C1" s="65" t="s">
        <v>24</v>
      </c>
      <c r="D1" s="65" t="s">
        <v>25</v>
      </c>
      <c r="E1" s="65" t="s">
        <v>26</v>
      </c>
      <c r="F1" s="65" t="s">
        <v>27</v>
      </c>
      <c r="G1" s="65" t="s">
        <v>28</v>
      </c>
      <c r="H1" s="65" t="s">
        <v>29</v>
      </c>
      <c r="I1" s="65" t="s">
        <v>30</v>
      </c>
      <c r="J1" s="66" t="s">
        <v>31</v>
      </c>
    </row>
    <row r="2" spans="1:10" x14ac:dyDescent="0.25">
      <c r="A2" s="56">
        <v>1</v>
      </c>
      <c r="B2" s="58" t="s">
        <v>32</v>
      </c>
      <c r="C2" s="67">
        <v>70398425000</v>
      </c>
      <c r="D2" s="67">
        <v>0</v>
      </c>
      <c r="E2" s="173">
        <v>0</v>
      </c>
      <c r="F2" s="67">
        <v>70398425000</v>
      </c>
      <c r="G2" s="173">
        <v>0</v>
      </c>
      <c r="H2" s="67">
        <v>13375700750</v>
      </c>
      <c r="I2" s="67">
        <v>83774125750</v>
      </c>
      <c r="J2" s="174">
        <v>19039574</v>
      </c>
    </row>
    <row r="3" spans="1:10" x14ac:dyDescent="0.25">
      <c r="A3" s="56">
        <v>2</v>
      </c>
      <c r="B3" s="58" t="s">
        <v>33</v>
      </c>
      <c r="C3" s="67">
        <v>29343670087</v>
      </c>
      <c r="D3" s="67">
        <v>58139423473</v>
      </c>
      <c r="E3" s="173">
        <v>630000000</v>
      </c>
      <c r="F3" s="67">
        <v>88113093560</v>
      </c>
      <c r="G3" s="173">
        <v>19186009747</v>
      </c>
      <c r="H3" s="67">
        <v>6247321840</v>
      </c>
      <c r="I3" s="67">
        <v>113546425147</v>
      </c>
      <c r="J3" s="174">
        <v>25806006</v>
      </c>
    </row>
    <row r="4" spans="1:10" x14ac:dyDescent="0.25">
      <c r="A4" s="56">
        <v>3</v>
      </c>
      <c r="B4" s="58" t="s">
        <v>34</v>
      </c>
      <c r="C4" s="67">
        <v>5136300000</v>
      </c>
      <c r="D4" s="67">
        <v>0</v>
      </c>
      <c r="E4" s="173">
        <v>246000000</v>
      </c>
      <c r="F4" s="67">
        <v>5382300000</v>
      </c>
      <c r="G4" s="173">
        <v>0</v>
      </c>
      <c r="H4" s="67">
        <v>1022637000</v>
      </c>
      <c r="I4" s="67">
        <v>6404937000</v>
      </c>
      <c r="J4" s="174">
        <v>1455668</v>
      </c>
    </row>
    <row r="5" spans="1:10" x14ac:dyDescent="0.25">
      <c r="A5" s="56">
        <v>4</v>
      </c>
      <c r="B5" s="58" t="s">
        <v>35</v>
      </c>
      <c r="C5" s="67">
        <v>16438000000</v>
      </c>
      <c r="D5" s="67">
        <v>0</v>
      </c>
      <c r="E5" s="173">
        <v>1800000000</v>
      </c>
      <c r="F5" s="67">
        <v>18238000000</v>
      </c>
      <c r="G5" s="173">
        <v>0</v>
      </c>
      <c r="H5" s="67">
        <v>3465220000</v>
      </c>
      <c r="I5" s="67">
        <v>21703220000</v>
      </c>
      <c r="J5" s="174">
        <v>4932550</v>
      </c>
    </row>
    <row r="6" spans="1:10" x14ac:dyDescent="0.25">
      <c r="A6" s="56">
        <v>5</v>
      </c>
      <c r="B6" s="58" t="s">
        <v>36</v>
      </c>
      <c r="C6" s="67">
        <v>16312000000</v>
      </c>
      <c r="D6" s="67">
        <v>0</v>
      </c>
      <c r="E6" s="173">
        <v>100000000</v>
      </c>
      <c r="F6" s="67">
        <v>16412000000</v>
      </c>
      <c r="G6" s="173">
        <v>0</v>
      </c>
      <c r="H6" s="67">
        <v>3118280000</v>
      </c>
      <c r="I6" s="67">
        <v>19530280000</v>
      </c>
      <c r="J6" s="174">
        <v>4438700</v>
      </c>
    </row>
    <row r="7" spans="1:10" x14ac:dyDescent="0.25">
      <c r="A7" s="56">
        <v>6</v>
      </c>
      <c r="B7" s="58" t="s">
        <v>37</v>
      </c>
      <c r="C7" s="67">
        <v>11127500000</v>
      </c>
      <c r="D7" s="67">
        <v>0</v>
      </c>
      <c r="E7" s="173">
        <v>1520000000</v>
      </c>
      <c r="F7" s="67">
        <v>12647500000</v>
      </c>
      <c r="G7" s="173">
        <v>0</v>
      </c>
      <c r="H7" s="67">
        <v>2403025000</v>
      </c>
      <c r="I7" s="67">
        <v>15050525000</v>
      </c>
      <c r="J7" s="174">
        <v>3420574</v>
      </c>
    </row>
    <row r="8" spans="1:10" x14ac:dyDescent="0.25">
      <c r="A8" s="69" t="s">
        <v>38</v>
      </c>
      <c r="B8" s="70" t="s">
        <v>39</v>
      </c>
      <c r="C8" s="71">
        <v>148755895087</v>
      </c>
      <c r="D8" s="71">
        <v>58139423473</v>
      </c>
      <c r="E8" s="72">
        <v>4296000000</v>
      </c>
      <c r="F8" s="71">
        <v>211191318560</v>
      </c>
      <c r="G8" s="72">
        <v>19186009747</v>
      </c>
      <c r="H8" s="71">
        <v>29632184590</v>
      </c>
      <c r="I8" s="71">
        <v>260009512897</v>
      </c>
      <c r="J8" s="175">
        <v>59093071</v>
      </c>
    </row>
  </sheetData>
  <pageMargins left="0.5" right="0.5" top="0.5" bottom="0.5" header="0.25" footer="0.25"/>
  <pageSetup paperSize="9"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55"/>
  <sheetViews>
    <sheetView topLeftCell="B1" workbookViewId="0">
      <pane ySplit="1" topLeftCell="A2" activePane="bottomLeft" state="frozen"/>
      <selection pane="bottomLeft" activeCell="F8" sqref="F8"/>
    </sheetView>
  </sheetViews>
  <sheetFormatPr baseColWidth="10" defaultRowHeight="15.75" x14ac:dyDescent="0.25"/>
  <cols>
    <col min="1" max="1" width="35.875" style="179" bestFit="1" customWidth="1"/>
    <col min="2" max="2" width="8.5" customWidth="1"/>
    <col min="3" max="3" width="6.875" bestFit="1" customWidth="1"/>
    <col min="4" max="4" width="33" customWidth="1"/>
    <col min="5" max="5" width="12" bestFit="1" customWidth="1"/>
    <col min="6" max="6" width="8" bestFit="1" customWidth="1"/>
    <col min="7" max="7" width="13" customWidth="1"/>
    <col min="8" max="8" width="21.5" customWidth="1"/>
    <col min="9" max="9" width="19.75" bestFit="1" customWidth="1"/>
    <col min="10" max="10" width="19.75" customWidth="1"/>
    <col min="11" max="11" width="4.875" customWidth="1"/>
    <col min="12" max="12" width="8.375" customWidth="1"/>
    <col min="13" max="13" width="5.375" bestFit="1" customWidth="1"/>
  </cols>
  <sheetData>
    <row r="1" spans="1:13" ht="24" customHeight="1" thickBot="1" x14ac:dyDescent="0.3">
      <c r="A1" s="176" t="s">
        <v>41</v>
      </c>
      <c r="B1" s="27" t="s">
        <v>42</v>
      </c>
      <c r="C1" s="27" t="s">
        <v>43</v>
      </c>
      <c r="D1" s="31" t="s">
        <v>44</v>
      </c>
      <c r="E1" s="27" t="s">
        <v>45</v>
      </c>
      <c r="F1" s="27" t="s">
        <v>46</v>
      </c>
      <c r="G1" s="27" t="s">
        <v>47</v>
      </c>
      <c r="H1" s="27" t="s">
        <v>48</v>
      </c>
      <c r="I1" s="27" t="s">
        <v>49</v>
      </c>
      <c r="J1" s="27" t="s">
        <v>50</v>
      </c>
      <c r="K1" s="5"/>
      <c r="L1" s="22" t="s">
        <v>40</v>
      </c>
      <c r="M1" s="23">
        <v>4400</v>
      </c>
    </row>
    <row r="2" spans="1:13" x14ac:dyDescent="0.25">
      <c r="A2" s="177" t="s">
        <v>51</v>
      </c>
      <c r="B2" s="28" t="s">
        <v>52</v>
      </c>
      <c r="C2" s="28" t="s">
        <v>53</v>
      </c>
      <c r="D2" s="184" t="s">
        <v>54</v>
      </c>
      <c r="E2" s="28" t="s">
        <v>55</v>
      </c>
      <c r="F2" s="28" t="s">
        <v>56</v>
      </c>
      <c r="G2" s="28">
        <v>2</v>
      </c>
      <c r="H2" s="29">
        <v>180000000</v>
      </c>
      <c r="I2" s="29">
        <f>Tabla2[[#This Row],[VU (COP)]]*Tabla2[[#This Row],[CANTIDAD]]</f>
        <v>360000000</v>
      </c>
      <c r="J2" s="29">
        <f>Tabla2[[#This Row],[TOTAL (COP)]]/$M$1</f>
        <v>81818.181818181823</v>
      </c>
      <c r="K2" s="5"/>
      <c r="L2" s="5"/>
      <c r="M2" s="5"/>
    </row>
    <row r="3" spans="1:13" x14ac:dyDescent="0.25">
      <c r="A3" s="178" t="s">
        <v>51</v>
      </c>
      <c r="B3" s="30" t="s">
        <v>52</v>
      </c>
      <c r="C3" s="30" t="s">
        <v>57</v>
      </c>
      <c r="D3" s="185" t="s">
        <v>58</v>
      </c>
      <c r="E3" s="30" t="s">
        <v>55</v>
      </c>
      <c r="F3" s="30" t="s">
        <v>56</v>
      </c>
      <c r="G3" s="30">
        <v>2</v>
      </c>
      <c r="H3" s="26">
        <v>180000000</v>
      </c>
      <c r="I3" s="26">
        <f>Tabla2[[#This Row],[VU (COP)]]*Tabla2[[#This Row],[CANTIDAD]]</f>
        <v>360000000</v>
      </c>
      <c r="J3" s="26">
        <f>Tabla2[[#This Row],[TOTAL (COP)]]/$M$1</f>
        <v>81818.181818181823</v>
      </c>
      <c r="K3" s="5"/>
      <c r="L3" s="5"/>
      <c r="M3" s="5"/>
    </row>
    <row r="4" spans="1:13" x14ac:dyDescent="0.25">
      <c r="A4" s="178" t="s">
        <v>51</v>
      </c>
      <c r="B4" s="30" t="s">
        <v>52</v>
      </c>
      <c r="C4" s="30" t="s">
        <v>59</v>
      </c>
      <c r="D4" s="185" t="s">
        <v>60</v>
      </c>
      <c r="E4" s="30" t="s">
        <v>55</v>
      </c>
      <c r="F4" s="30" t="s">
        <v>56</v>
      </c>
      <c r="G4" s="30">
        <v>8</v>
      </c>
      <c r="H4" s="26">
        <v>45000000</v>
      </c>
      <c r="I4" s="26">
        <f>Tabla2[[#This Row],[VU (COP)]]*Tabla2[[#This Row],[CANTIDAD]]</f>
        <v>360000000</v>
      </c>
      <c r="J4" s="26">
        <f>Tabla2[[#This Row],[TOTAL (COP)]]/$M$1</f>
        <v>81818.181818181823</v>
      </c>
      <c r="K4" s="5"/>
      <c r="L4" s="5"/>
      <c r="M4" s="5"/>
    </row>
    <row r="5" spans="1:13" ht="26.25" x14ac:dyDescent="0.25">
      <c r="A5" s="178" t="s">
        <v>51</v>
      </c>
      <c r="B5" s="30" t="s">
        <v>52</v>
      </c>
      <c r="C5" s="30" t="s">
        <v>61</v>
      </c>
      <c r="D5" s="185" t="s">
        <v>62</v>
      </c>
      <c r="E5" s="30" t="s">
        <v>55</v>
      </c>
      <c r="F5" s="30" t="s">
        <v>56</v>
      </c>
      <c r="G5" s="30">
        <v>1</v>
      </c>
      <c r="H5" s="26">
        <v>11000000000</v>
      </c>
      <c r="I5" s="26">
        <f>Tabla2[[#This Row],[VU (COP)]]*Tabla2[[#This Row],[CANTIDAD]]</f>
        <v>11000000000</v>
      </c>
      <c r="J5" s="26">
        <f>Tabla2[[#This Row],[TOTAL (COP)]]/$M$1</f>
        <v>2500000</v>
      </c>
      <c r="K5" s="5"/>
      <c r="L5" s="5"/>
      <c r="M5" s="5"/>
    </row>
    <row r="6" spans="1:13" x14ac:dyDescent="0.25">
      <c r="A6" s="178" t="s">
        <v>51</v>
      </c>
      <c r="B6" s="30" t="s">
        <v>52</v>
      </c>
      <c r="C6" s="30" t="s">
        <v>63</v>
      </c>
      <c r="D6" s="185" t="s">
        <v>64</v>
      </c>
      <c r="E6" s="30" t="s">
        <v>55</v>
      </c>
      <c r="F6" s="30" t="s">
        <v>56</v>
      </c>
      <c r="G6" s="30">
        <v>1</v>
      </c>
      <c r="H6" s="26">
        <v>200000000</v>
      </c>
      <c r="I6" s="26">
        <f>Tabla2[[#This Row],[VU (COP)]]*Tabla2[[#This Row],[CANTIDAD]]</f>
        <v>200000000</v>
      </c>
      <c r="J6" s="26">
        <f>Tabla2[[#This Row],[TOTAL (COP)]]/$M$1</f>
        <v>45454.545454545456</v>
      </c>
      <c r="K6" s="5"/>
      <c r="L6" s="5"/>
      <c r="M6" s="5"/>
    </row>
    <row r="7" spans="1:13" x14ac:dyDescent="0.25">
      <c r="A7" s="178" t="s">
        <v>51</v>
      </c>
      <c r="B7" s="30" t="s">
        <v>52</v>
      </c>
      <c r="C7" s="30" t="s">
        <v>65</v>
      </c>
      <c r="D7" s="185" t="s">
        <v>66</v>
      </c>
      <c r="E7" s="30" t="s">
        <v>55</v>
      </c>
      <c r="F7" s="30" t="s">
        <v>56</v>
      </c>
      <c r="G7" s="30">
        <v>1</v>
      </c>
      <c r="H7" s="26">
        <v>300000000</v>
      </c>
      <c r="I7" s="26">
        <f>Tabla2[[#This Row],[VU (COP)]]*Tabla2[[#This Row],[CANTIDAD]]</f>
        <v>300000000</v>
      </c>
      <c r="J7" s="26">
        <f>Tabla2[[#This Row],[TOTAL (COP)]]/$M$1</f>
        <v>68181.818181818177</v>
      </c>
      <c r="K7" s="5"/>
      <c r="L7" s="5"/>
      <c r="M7" s="5"/>
    </row>
    <row r="8" spans="1:13" x14ac:dyDescent="0.25">
      <c r="A8" s="178" t="s">
        <v>51</v>
      </c>
      <c r="B8" s="30" t="s">
        <v>52</v>
      </c>
      <c r="C8" s="30" t="s">
        <v>67</v>
      </c>
      <c r="D8" s="185" t="s">
        <v>68</v>
      </c>
      <c r="E8" s="30" t="s">
        <v>55</v>
      </c>
      <c r="F8" s="30" t="s">
        <v>56</v>
      </c>
      <c r="G8" s="30">
        <v>1</v>
      </c>
      <c r="H8" s="26">
        <v>150000000</v>
      </c>
      <c r="I8" s="26">
        <f>Tabla2[[#This Row],[VU (COP)]]*Tabla2[[#This Row],[CANTIDAD]]</f>
        <v>150000000</v>
      </c>
      <c r="J8" s="26">
        <f>Tabla2[[#This Row],[TOTAL (COP)]]/$M$1</f>
        <v>34090.909090909088</v>
      </c>
      <c r="K8" s="5"/>
      <c r="L8" s="5"/>
      <c r="M8" s="5"/>
    </row>
    <row r="9" spans="1:13" x14ac:dyDescent="0.25">
      <c r="A9" s="178" t="s">
        <v>51</v>
      </c>
      <c r="B9" s="30" t="s">
        <v>69</v>
      </c>
      <c r="C9" s="30" t="s">
        <v>70</v>
      </c>
      <c r="D9" s="185" t="s">
        <v>71</v>
      </c>
      <c r="E9" s="30" t="s">
        <v>55</v>
      </c>
      <c r="F9" s="30" t="s">
        <v>56</v>
      </c>
      <c r="G9" s="30">
        <v>15</v>
      </c>
      <c r="H9" s="26">
        <v>120000000</v>
      </c>
      <c r="I9" s="26">
        <f>Tabla2[[#This Row],[VU (COP)]]*Tabla2[[#This Row],[CANTIDAD]]</f>
        <v>1800000000</v>
      </c>
      <c r="J9" s="26">
        <f>Tabla2[[#This Row],[TOTAL (COP)]]/$M$1</f>
        <v>409090.90909090912</v>
      </c>
      <c r="K9" s="5"/>
      <c r="L9" s="5"/>
      <c r="M9" s="5"/>
    </row>
    <row r="10" spans="1:13" x14ac:dyDescent="0.25">
      <c r="A10" s="178" t="s">
        <v>51</v>
      </c>
      <c r="B10" s="30" t="s">
        <v>69</v>
      </c>
      <c r="C10" s="30" t="s">
        <v>72</v>
      </c>
      <c r="D10" s="185" t="s">
        <v>73</v>
      </c>
      <c r="E10" s="30" t="s">
        <v>55</v>
      </c>
      <c r="F10" s="30" t="s">
        <v>56</v>
      </c>
      <c r="G10" s="30">
        <v>15</v>
      </c>
      <c r="H10" s="26">
        <v>80000000</v>
      </c>
      <c r="I10" s="26">
        <f>Tabla2[[#This Row],[VU (COP)]]*Tabla2[[#This Row],[CANTIDAD]]</f>
        <v>1200000000</v>
      </c>
      <c r="J10" s="26">
        <f>Tabla2[[#This Row],[TOTAL (COP)]]/$M$1</f>
        <v>272727.27272727271</v>
      </c>
      <c r="K10" s="5"/>
      <c r="L10" s="5"/>
      <c r="M10" s="5"/>
    </row>
    <row r="11" spans="1:13" x14ac:dyDescent="0.25">
      <c r="A11" s="178" t="s">
        <v>51</v>
      </c>
      <c r="B11" s="30" t="s">
        <v>69</v>
      </c>
      <c r="C11" s="30" t="s">
        <v>74</v>
      </c>
      <c r="D11" s="185" t="s">
        <v>75</v>
      </c>
      <c r="E11" s="30" t="s">
        <v>55</v>
      </c>
      <c r="F11" s="30" t="s">
        <v>56</v>
      </c>
      <c r="G11" s="30">
        <v>15</v>
      </c>
      <c r="H11" s="26">
        <v>25000000</v>
      </c>
      <c r="I11" s="26">
        <f>Tabla2[[#This Row],[VU (COP)]]*Tabla2[[#This Row],[CANTIDAD]]</f>
        <v>375000000</v>
      </c>
      <c r="J11" s="26">
        <f>Tabla2[[#This Row],[TOTAL (COP)]]/$M$1</f>
        <v>85227.272727272721</v>
      </c>
      <c r="K11" s="5"/>
      <c r="L11" s="5"/>
      <c r="M11" s="5"/>
    </row>
    <row r="12" spans="1:13" x14ac:dyDescent="0.25">
      <c r="A12" s="178" t="s">
        <v>51</v>
      </c>
      <c r="B12" s="30" t="s">
        <v>69</v>
      </c>
      <c r="C12" s="30" t="s">
        <v>76</v>
      </c>
      <c r="D12" s="185" t="s">
        <v>77</v>
      </c>
      <c r="E12" s="30" t="s">
        <v>55</v>
      </c>
      <c r="F12" s="30" t="s">
        <v>56</v>
      </c>
      <c r="G12" s="30">
        <v>15</v>
      </c>
      <c r="H12" s="26">
        <v>35000000</v>
      </c>
      <c r="I12" s="26">
        <f>Tabla2[[#This Row],[VU (COP)]]*Tabla2[[#This Row],[CANTIDAD]]</f>
        <v>525000000</v>
      </c>
      <c r="J12" s="26">
        <f>Tabla2[[#This Row],[TOTAL (COP)]]/$M$1</f>
        <v>119318.18181818182</v>
      </c>
      <c r="K12" s="5"/>
      <c r="L12" s="5"/>
      <c r="M12" s="5"/>
    </row>
    <row r="13" spans="1:13" x14ac:dyDescent="0.25">
      <c r="A13" s="178" t="s">
        <v>51</v>
      </c>
      <c r="B13" s="30" t="s">
        <v>69</v>
      </c>
      <c r="C13" s="30" t="s">
        <v>78</v>
      </c>
      <c r="D13" s="185" t="s">
        <v>79</v>
      </c>
      <c r="E13" s="30" t="s">
        <v>55</v>
      </c>
      <c r="F13" s="30" t="s">
        <v>56</v>
      </c>
      <c r="G13" s="30">
        <v>15</v>
      </c>
      <c r="H13" s="26">
        <v>100000000</v>
      </c>
      <c r="I13" s="26">
        <f>Tabla2[[#This Row],[VU (COP)]]*Tabla2[[#This Row],[CANTIDAD]]</f>
        <v>1500000000</v>
      </c>
      <c r="J13" s="26">
        <f>Tabla2[[#This Row],[TOTAL (COP)]]/$M$1</f>
        <v>340909.09090909088</v>
      </c>
      <c r="K13" s="5"/>
      <c r="L13" s="5"/>
      <c r="M13" s="5"/>
    </row>
    <row r="14" spans="1:13" x14ac:dyDescent="0.25">
      <c r="A14" s="178" t="s">
        <v>51</v>
      </c>
      <c r="B14" s="30" t="s">
        <v>69</v>
      </c>
      <c r="C14" s="30" t="s">
        <v>80</v>
      </c>
      <c r="D14" s="185" t="s">
        <v>81</v>
      </c>
      <c r="E14" s="30" t="s">
        <v>55</v>
      </c>
      <c r="F14" s="30" t="s">
        <v>56</v>
      </c>
      <c r="G14" s="30">
        <v>15</v>
      </c>
      <c r="H14" s="26">
        <v>30000000</v>
      </c>
      <c r="I14" s="26">
        <f>Tabla2[[#This Row],[VU (COP)]]*Tabla2[[#This Row],[CANTIDAD]]</f>
        <v>450000000</v>
      </c>
      <c r="J14" s="26">
        <f>Tabla2[[#This Row],[TOTAL (COP)]]/$M$1</f>
        <v>102272.72727272728</v>
      </c>
      <c r="K14" s="5"/>
      <c r="L14" s="5"/>
      <c r="M14" s="5"/>
    </row>
    <row r="15" spans="1:13" x14ac:dyDescent="0.25">
      <c r="A15" s="178" t="s">
        <v>51</v>
      </c>
      <c r="B15" s="30" t="s">
        <v>69</v>
      </c>
      <c r="C15" s="30" t="s">
        <v>82</v>
      </c>
      <c r="D15" s="185" t="s">
        <v>66</v>
      </c>
      <c r="E15" s="30" t="s">
        <v>55</v>
      </c>
      <c r="F15" s="30" t="s">
        <v>56</v>
      </c>
      <c r="G15" s="30">
        <v>15</v>
      </c>
      <c r="H15" s="26">
        <v>50000000</v>
      </c>
      <c r="I15" s="26">
        <f>Tabla2[[#This Row],[VU (COP)]]*Tabla2[[#This Row],[CANTIDAD]]</f>
        <v>750000000</v>
      </c>
      <c r="J15" s="26">
        <f>Tabla2[[#This Row],[TOTAL (COP)]]/$M$1</f>
        <v>170454.54545454544</v>
      </c>
      <c r="K15" s="5"/>
      <c r="L15" s="5"/>
      <c r="M15" s="5"/>
    </row>
    <row r="16" spans="1:13" ht="51.75" x14ac:dyDescent="0.25">
      <c r="A16" s="178" t="s">
        <v>51</v>
      </c>
      <c r="B16" s="30" t="s">
        <v>83</v>
      </c>
      <c r="C16" s="30" t="s">
        <v>84</v>
      </c>
      <c r="D16" s="185" t="s">
        <v>85</v>
      </c>
      <c r="E16" s="30" t="s">
        <v>55</v>
      </c>
      <c r="F16" s="30" t="s">
        <v>56</v>
      </c>
      <c r="G16" s="30">
        <v>1</v>
      </c>
      <c r="H16" s="26">
        <v>2000000000</v>
      </c>
      <c r="I16" s="26">
        <f>Tabla2[[#This Row],[VU (COP)]]*Tabla2[[#This Row],[CANTIDAD]]</f>
        <v>2000000000</v>
      </c>
      <c r="J16" s="26">
        <f>Tabla2[[#This Row],[TOTAL (COP)]]/$M$1</f>
        <v>454545.45454545453</v>
      </c>
      <c r="K16" s="5"/>
      <c r="L16" s="5"/>
      <c r="M16" s="5"/>
    </row>
    <row r="17" spans="1:13" ht="26.25" x14ac:dyDescent="0.25">
      <c r="A17" s="178" t="s">
        <v>51</v>
      </c>
      <c r="B17" s="30" t="s">
        <v>83</v>
      </c>
      <c r="C17" s="30" t="s">
        <v>86</v>
      </c>
      <c r="D17" s="185" t="s">
        <v>87</v>
      </c>
      <c r="E17" s="30" t="s">
        <v>55</v>
      </c>
      <c r="F17" s="30" t="s">
        <v>56</v>
      </c>
      <c r="G17" s="30">
        <v>1</v>
      </c>
      <c r="H17" s="26">
        <v>2000000000</v>
      </c>
      <c r="I17" s="26">
        <f>Tabla2[[#This Row],[VU (COP)]]*Tabla2[[#This Row],[CANTIDAD]]</f>
        <v>2000000000</v>
      </c>
      <c r="J17" s="26">
        <f>Tabla2[[#This Row],[TOTAL (COP)]]/$M$1</f>
        <v>454545.45454545453</v>
      </c>
      <c r="K17" s="5"/>
      <c r="L17" s="5"/>
      <c r="M17" s="5"/>
    </row>
    <row r="18" spans="1:13" ht="26.25" x14ac:dyDescent="0.25">
      <c r="A18" s="178" t="s">
        <v>51</v>
      </c>
      <c r="B18" s="30" t="s">
        <v>83</v>
      </c>
      <c r="C18" s="30" t="s">
        <v>88</v>
      </c>
      <c r="D18" s="185" t="s">
        <v>89</v>
      </c>
      <c r="E18" s="30" t="s">
        <v>55</v>
      </c>
      <c r="F18" s="30" t="s">
        <v>56</v>
      </c>
      <c r="G18" s="30">
        <v>1</v>
      </c>
      <c r="H18" s="26">
        <v>2000000000</v>
      </c>
      <c r="I18" s="26">
        <f>Tabla2[[#This Row],[VU (COP)]]*Tabla2[[#This Row],[CANTIDAD]]</f>
        <v>2000000000</v>
      </c>
      <c r="J18" s="26">
        <f>Tabla2[[#This Row],[TOTAL (COP)]]/$M$1</f>
        <v>454545.45454545453</v>
      </c>
      <c r="K18" s="5"/>
      <c r="L18" s="5"/>
      <c r="M18" s="5"/>
    </row>
    <row r="19" spans="1:13" ht="26.25" x14ac:dyDescent="0.25">
      <c r="A19" s="178" t="s">
        <v>51</v>
      </c>
      <c r="B19" s="30" t="s">
        <v>83</v>
      </c>
      <c r="C19" s="30" t="s">
        <v>90</v>
      </c>
      <c r="D19" s="185" t="s">
        <v>91</v>
      </c>
      <c r="E19" s="30" t="s">
        <v>55</v>
      </c>
      <c r="F19" s="30" t="s">
        <v>56</v>
      </c>
      <c r="G19" s="30">
        <v>1</v>
      </c>
      <c r="H19" s="26">
        <v>2000000000</v>
      </c>
      <c r="I19" s="26">
        <f>Tabla2[[#This Row],[VU (COP)]]*Tabla2[[#This Row],[CANTIDAD]]</f>
        <v>2000000000</v>
      </c>
      <c r="J19" s="26">
        <f>Tabla2[[#This Row],[TOTAL (COP)]]/$M$1</f>
        <v>454545.45454545453</v>
      </c>
      <c r="K19" s="5"/>
      <c r="L19" s="5"/>
      <c r="M19" s="5"/>
    </row>
    <row r="20" spans="1:13" ht="26.25" x14ac:dyDescent="0.25">
      <c r="A20" s="178" t="s">
        <v>51</v>
      </c>
      <c r="B20" s="30" t="s">
        <v>83</v>
      </c>
      <c r="C20" s="30" t="s">
        <v>92</v>
      </c>
      <c r="D20" s="185" t="s">
        <v>93</v>
      </c>
      <c r="E20" s="30" t="s">
        <v>55</v>
      </c>
      <c r="F20" s="30" t="s">
        <v>56</v>
      </c>
      <c r="G20" s="30">
        <v>1</v>
      </c>
      <c r="H20" s="26">
        <v>2000000000</v>
      </c>
      <c r="I20" s="26">
        <f>Tabla2[[#This Row],[VU (COP)]]*Tabla2[[#This Row],[CANTIDAD]]</f>
        <v>2000000000</v>
      </c>
      <c r="J20" s="26">
        <f>Tabla2[[#This Row],[TOTAL (COP)]]/$M$1</f>
        <v>454545.45454545453</v>
      </c>
      <c r="K20" s="5"/>
      <c r="L20" s="5"/>
      <c r="M20" s="5"/>
    </row>
    <row r="21" spans="1:13" x14ac:dyDescent="0.25">
      <c r="A21" s="178" t="s">
        <v>51</v>
      </c>
      <c r="B21" s="30" t="s">
        <v>83</v>
      </c>
      <c r="C21" s="30" t="s">
        <v>94</v>
      </c>
      <c r="D21" s="185" t="s">
        <v>95</v>
      </c>
      <c r="E21" s="30" t="s">
        <v>55</v>
      </c>
      <c r="F21" s="30" t="s">
        <v>56</v>
      </c>
      <c r="G21" s="30">
        <v>1</v>
      </c>
      <c r="H21" s="26">
        <v>400000000</v>
      </c>
      <c r="I21" s="26">
        <f>Tabla2[[#This Row],[VU (COP)]]*Tabla2[[#This Row],[CANTIDAD]]</f>
        <v>400000000</v>
      </c>
      <c r="J21" s="26">
        <f>Tabla2[[#This Row],[TOTAL (COP)]]/$M$1</f>
        <v>90909.090909090912</v>
      </c>
      <c r="K21" s="5"/>
      <c r="L21" s="5"/>
      <c r="M21" s="5"/>
    </row>
    <row r="22" spans="1:13" x14ac:dyDescent="0.25">
      <c r="A22" s="178" t="s">
        <v>51</v>
      </c>
      <c r="B22" s="30" t="s">
        <v>83</v>
      </c>
      <c r="C22" s="30" t="s">
        <v>96</v>
      </c>
      <c r="D22" s="185" t="s">
        <v>97</v>
      </c>
      <c r="E22" s="30" t="s">
        <v>55</v>
      </c>
      <c r="F22" s="30" t="s">
        <v>56</v>
      </c>
      <c r="G22" s="30">
        <v>5</v>
      </c>
      <c r="H22" s="26">
        <v>60000000</v>
      </c>
      <c r="I22" s="26">
        <f>Tabla2[[#This Row],[VU (COP)]]*Tabla2[[#This Row],[CANTIDAD]]</f>
        <v>300000000</v>
      </c>
      <c r="J22" s="26">
        <f>Tabla2[[#This Row],[TOTAL (COP)]]/$M$1</f>
        <v>68181.818181818177</v>
      </c>
      <c r="K22" s="5"/>
      <c r="L22" s="5"/>
      <c r="M22" s="5"/>
    </row>
    <row r="23" spans="1:13" ht="39" x14ac:dyDescent="0.25">
      <c r="A23" s="178" t="s">
        <v>51</v>
      </c>
      <c r="B23" s="30" t="s">
        <v>98</v>
      </c>
      <c r="C23" s="30" t="s">
        <v>99</v>
      </c>
      <c r="D23" s="185" t="s">
        <v>100</v>
      </c>
      <c r="E23" s="30" t="s">
        <v>55</v>
      </c>
      <c r="F23" s="30" t="s">
        <v>56</v>
      </c>
      <c r="G23" s="30">
        <v>25</v>
      </c>
      <c r="H23" s="26">
        <v>640000000</v>
      </c>
      <c r="I23" s="26">
        <f>Tabla2[[#This Row],[VU (COP)]]*Tabla2[[#This Row],[CANTIDAD]]</f>
        <v>16000000000</v>
      </c>
      <c r="J23" s="26">
        <f>Tabla2[[#This Row],[TOTAL (COP)]]/$M$1</f>
        <v>3636363.6363636362</v>
      </c>
      <c r="K23" s="5"/>
      <c r="L23" s="5"/>
      <c r="M23" s="5"/>
    </row>
    <row r="24" spans="1:13" ht="26.25" x14ac:dyDescent="0.25">
      <c r="A24" s="178" t="s">
        <v>51</v>
      </c>
      <c r="B24" s="30" t="s">
        <v>98</v>
      </c>
      <c r="C24" s="30" t="s">
        <v>101</v>
      </c>
      <c r="D24" s="185" t="s">
        <v>102</v>
      </c>
      <c r="E24" s="30" t="s">
        <v>55</v>
      </c>
      <c r="F24" s="30" t="s">
        <v>56</v>
      </c>
      <c r="G24" s="30">
        <v>25</v>
      </c>
      <c r="H24" s="26">
        <v>134577000</v>
      </c>
      <c r="I24" s="26">
        <f>Tabla2[[#This Row],[VU (COP)]]*Tabla2[[#This Row],[CANTIDAD]]</f>
        <v>3364425000</v>
      </c>
      <c r="J24" s="26">
        <f>Tabla2[[#This Row],[TOTAL (COP)]]/$M$1</f>
        <v>764642.04545454541</v>
      </c>
      <c r="K24" s="5"/>
      <c r="L24" s="5"/>
      <c r="M24" s="5"/>
    </row>
    <row r="25" spans="1:13" x14ac:dyDescent="0.25">
      <c r="A25" s="178" t="s">
        <v>51</v>
      </c>
      <c r="B25" s="30" t="s">
        <v>98</v>
      </c>
      <c r="C25" s="30" t="s">
        <v>103</v>
      </c>
      <c r="D25" s="185" t="s">
        <v>104</v>
      </c>
      <c r="E25" s="30" t="s">
        <v>55</v>
      </c>
      <c r="F25" s="30" t="s">
        <v>56</v>
      </c>
      <c r="G25" s="30">
        <v>25</v>
      </c>
      <c r="H25" s="26">
        <v>67288000</v>
      </c>
      <c r="I25" s="26">
        <f>Tabla2[[#This Row],[VU (COP)]]*Tabla2[[#This Row],[CANTIDAD]]</f>
        <v>1682200000</v>
      </c>
      <c r="J25" s="26">
        <f>Tabla2[[#This Row],[TOTAL (COP)]]/$M$1</f>
        <v>382318.18181818182</v>
      </c>
      <c r="K25" s="5"/>
      <c r="L25" s="5"/>
      <c r="M25" s="5"/>
    </row>
    <row r="26" spans="1:13" ht="26.25" x14ac:dyDescent="0.25">
      <c r="A26" s="178" t="s">
        <v>51</v>
      </c>
      <c r="B26" s="30" t="s">
        <v>105</v>
      </c>
      <c r="C26" s="30" t="s">
        <v>106</v>
      </c>
      <c r="D26" s="185" t="s">
        <v>107</v>
      </c>
      <c r="E26" s="30" t="s">
        <v>55</v>
      </c>
      <c r="F26" s="30" t="s">
        <v>56</v>
      </c>
      <c r="G26" s="30">
        <v>120</v>
      </c>
      <c r="H26" s="26">
        <v>134577000</v>
      </c>
      <c r="I26" s="26">
        <f>Tabla2[[#This Row],[VU (COP)]]*Tabla2[[#This Row],[CANTIDAD]]</f>
        <v>16149240000</v>
      </c>
      <c r="J26" s="26">
        <f>Tabla2[[#This Row],[TOTAL (COP)]]/$M$1</f>
        <v>3670281.8181818184</v>
      </c>
      <c r="K26" s="5"/>
      <c r="L26" s="5"/>
      <c r="M26" s="5"/>
    </row>
    <row r="27" spans="1:13" ht="39" x14ac:dyDescent="0.25">
      <c r="A27" s="178" t="s">
        <v>51</v>
      </c>
      <c r="B27" s="30" t="s">
        <v>105</v>
      </c>
      <c r="C27" s="30" t="s">
        <v>108</v>
      </c>
      <c r="D27" s="185" t="s">
        <v>109</v>
      </c>
      <c r="E27" s="30" t="s">
        <v>55</v>
      </c>
      <c r="F27" s="30" t="s">
        <v>56</v>
      </c>
      <c r="G27" s="30">
        <v>30</v>
      </c>
      <c r="H27" s="26">
        <v>51920000</v>
      </c>
      <c r="I27" s="26">
        <f>Tabla2[[#This Row],[VU (COP)]]*Tabla2[[#This Row],[CANTIDAD]]</f>
        <v>1557600000</v>
      </c>
      <c r="J27" s="26">
        <f>Tabla2[[#This Row],[TOTAL (COP)]]/$M$1</f>
        <v>354000</v>
      </c>
      <c r="K27" s="5"/>
      <c r="L27" s="5"/>
      <c r="M27" s="5"/>
    </row>
    <row r="28" spans="1:13" ht="26.25" x14ac:dyDescent="0.25">
      <c r="A28" s="178" t="s">
        <v>51</v>
      </c>
      <c r="B28" s="30" t="s">
        <v>105</v>
      </c>
      <c r="C28" s="30" t="s">
        <v>110</v>
      </c>
      <c r="D28" s="185" t="s">
        <v>111</v>
      </c>
      <c r="E28" s="30" t="s">
        <v>55</v>
      </c>
      <c r="F28" s="30" t="s">
        <v>56</v>
      </c>
      <c r="G28" s="30">
        <v>120</v>
      </c>
      <c r="H28" s="26">
        <v>13458000</v>
      </c>
      <c r="I28" s="26">
        <f>Tabla2[[#This Row],[VU (COP)]]*Tabla2[[#This Row],[CANTIDAD]]</f>
        <v>1614960000</v>
      </c>
      <c r="J28" s="26">
        <f>Tabla2[[#This Row],[TOTAL (COP)]]/$M$1</f>
        <v>367036.36363636365</v>
      </c>
      <c r="K28" s="5"/>
      <c r="L28" s="5"/>
      <c r="M28" s="5"/>
    </row>
    <row r="29" spans="1:13" x14ac:dyDescent="0.25">
      <c r="A29" s="178" t="s">
        <v>112</v>
      </c>
      <c r="B29" s="30" t="s">
        <v>113</v>
      </c>
      <c r="C29" s="30" t="s">
        <v>114</v>
      </c>
      <c r="D29" s="185" t="s">
        <v>115</v>
      </c>
      <c r="E29" s="30" t="s">
        <v>55</v>
      </c>
      <c r="F29" s="30" t="s">
        <v>56</v>
      </c>
      <c r="G29" s="30">
        <v>37</v>
      </c>
      <c r="H29" s="26">
        <v>180000000</v>
      </c>
      <c r="I29" s="26">
        <f>Tabla2[[#This Row],[VU (COP)]]*Tabla2[[#This Row],[CANTIDAD]]</f>
        <v>6660000000</v>
      </c>
      <c r="J29" s="26">
        <f>Tabla2[[#This Row],[TOTAL (COP)]]/$M$1</f>
        <v>1513636.3636363635</v>
      </c>
      <c r="K29" s="5"/>
      <c r="L29" s="5"/>
      <c r="M29" s="5"/>
    </row>
    <row r="30" spans="1:13" x14ac:dyDescent="0.25">
      <c r="A30" s="178" t="s">
        <v>112</v>
      </c>
      <c r="B30" s="30" t="s">
        <v>113</v>
      </c>
      <c r="C30" s="30" t="s">
        <v>116</v>
      </c>
      <c r="D30" s="185" t="s">
        <v>117</v>
      </c>
      <c r="E30" s="30" t="s">
        <v>55</v>
      </c>
      <c r="F30" s="30" t="s">
        <v>56</v>
      </c>
      <c r="G30" s="30">
        <v>37</v>
      </c>
      <c r="H30" s="26">
        <v>65000000</v>
      </c>
      <c r="I30" s="26">
        <f>Tabla2[[#This Row],[VU (COP)]]*Tabla2[[#This Row],[CANTIDAD]]</f>
        <v>2405000000</v>
      </c>
      <c r="J30" s="26">
        <f>Tabla2[[#This Row],[TOTAL (COP)]]/$M$1</f>
        <v>546590.90909090906</v>
      </c>
      <c r="K30" s="5"/>
      <c r="L30" s="5"/>
      <c r="M30" s="5"/>
    </row>
    <row r="31" spans="1:13" x14ac:dyDescent="0.25">
      <c r="A31" s="178" t="s">
        <v>112</v>
      </c>
      <c r="B31" s="30" t="s">
        <v>113</v>
      </c>
      <c r="C31" s="30" t="s">
        <v>118</v>
      </c>
      <c r="D31" s="185" t="s">
        <v>119</v>
      </c>
      <c r="E31" s="30" t="s">
        <v>55</v>
      </c>
      <c r="F31" s="30" t="s">
        <v>56</v>
      </c>
      <c r="G31" s="30">
        <v>37</v>
      </c>
      <c r="H31" s="26">
        <v>12000000</v>
      </c>
      <c r="I31" s="26">
        <f>Tabla2[[#This Row],[VU (COP)]]*Tabla2[[#This Row],[CANTIDAD]]</f>
        <v>444000000</v>
      </c>
      <c r="J31" s="26">
        <f>Tabla2[[#This Row],[TOTAL (COP)]]/$M$1</f>
        <v>100909.09090909091</v>
      </c>
      <c r="K31" s="5"/>
      <c r="L31" s="5"/>
      <c r="M31" s="5"/>
    </row>
    <row r="32" spans="1:13" x14ac:dyDescent="0.25">
      <c r="A32" s="178" t="s">
        <v>112</v>
      </c>
      <c r="B32" s="30" t="s">
        <v>113</v>
      </c>
      <c r="C32" s="30" t="s">
        <v>120</v>
      </c>
      <c r="D32" s="185" t="s">
        <v>121</v>
      </c>
      <c r="E32" s="30" t="s">
        <v>55</v>
      </c>
      <c r="F32" s="30" t="s">
        <v>56</v>
      </c>
      <c r="G32" s="30">
        <v>30</v>
      </c>
      <c r="H32" s="26">
        <v>35000000</v>
      </c>
      <c r="I32" s="26">
        <f>Tabla2[[#This Row],[VU (COP)]]*Tabla2[[#This Row],[CANTIDAD]]</f>
        <v>1050000000</v>
      </c>
      <c r="J32" s="26">
        <f>Tabla2[[#This Row],[TOTAL (COP)]]/$M$1</f>
        <v>238636.36363636365</v>
      </c>
      <c r="K32" s="5"/>
      <c r="L32" s="5"/>
      <c r="M32" s="5"/>
    </row>
    <row r="33" spans="1:13" x14ac:dyDescent="0.25">
      <c r="A33" s="178" t="s">
        <v>112</v>
      </c>
      <c r="B33" s="30" t="s">
        <v>113</v>
      </c>
      <c r="C33" s="30" t="s">
        <v>122</v>
      </c>
      <c r="D33" s="185" t="s">
        <v>123</v>
      </c>
      <c r="E33" s="30" t="s">
        <v>55</v>
      </c>
      <c r="F33" s="30" t="s">
        <v>56</v>
      </c>
      <c r="G33" s="30">
        <v>80</v>
      </c>
      <c r="H33" s="26">
        <v>6000000</v>
      </c>
      <c r="I33" s="26">
        <f>Tabla2[[#This Row],[VU (COP)]]*Tabla2[[#This Row],[CANTIDAD]]</f>
        <v>480000000</v>
      </c>
      <c r="J33" s="26">
        <f>Tabla2[[#This Row],[TOTAL (COP)]]/$M$1</f>
        <v>109090.90909090909</v>
      </c>
      <c r="K33" s="5"/>
      <c r="L33" s="5"/>
      <c r="M33" s="5"/>
    </row>
    <row r="34" spans="1:13" x14ac:dyDescent="0.25">
      <c r="A34" s="178" t="s">
        <v>112</v>
      </c>
      <c r="B34" s="30" t="s">
        <v>113</v>
      </c>
      <c r="C34" s="30" t="s">
        <v>124</v>
      </c>
      <c r="D34" s="185" t="s">
        <v>125</v>
      </c>
      <c r="E34" s="30" t="s">
        <v>55</v>
      </c>
      <c r="F34" s="30" t="s">
        <v>56</v>
      </c>
      <c r="G34" s="30">
        <v>1</v>
      </c>
      <c r="H34" s="26">
        <v>120000000</v>
      </c>
      <c r="I34" s="26">
        <f>Tabla2[[#This Row],[VU (COP)]]*Tabla2[[#This Row],[CANTIDAD]]</f>
        <v>120000000</v>
      </c>
      <c r="J34" s="26">
        <f>Tabla2[[#This Row],[TOTAL (COP)]]/$M$1</f>
        <v>27272.727272727272</v>
      </c>
      <c r="K34" s="5"/>
      <c r="L34" s="5"/>
      <c r="M34" s="5"/>
    </row>
    <row r="35" spans="1:13" x14ac:dyDescent="0.25">
      <c r="A35" s="178" t="s">
        <v>112</v>
      </c>
      <c r="B35" s="30" t="s">
        <v>113</v>
      </c>
      <c r="C35" s="30" t="s">
        <v>126</v>
      </c>
      <c r="D35" s="185" t="s">
        <v>127</v>
      </c>
      <c r="E35" s="30" t="s">
        <v>128</v>
      </c>
      <c r="F35" s="30" t="s">
        <v>56</v>
      </c>
      <c r="G35" s="30">
        <v>37</v>
      </c>
      <c r="H35" s="26">
        <v>65000000</v>
      </c>
      <c r="I35" s="26">
        <f>Tabla2[[#This Row],[VU (COP)]]*Tabla2[[#This Row],[CANTIDAD]]</f>
        <v>2405000000</v>
      </c>
      <c r="J35" s="26">
        <f>Tabla2[[#This Row],[TOTAL (COP)]]/$M$1</f>
        <v>546590.90909090906</v>
      </c>
      <c r="K35" s="5"/>
      <c r="L35" s="5"/>
      <c r="M35" s="5"/>
    </row>
    <row r="36" spans="1:13" x14ac:dyDescent="0.25">
      <c r="A36" s="178" t="s">
        <v>112</v>
      </c>
      <c r="B36" s="30" t="s">
        <v>113</v>
      </c>
      <c r="C36" s="30" t="s">
        <v>129</v>
      </c>
      <c r="D36" s="185" t="s">
        <v>130</v>
      </c>
      <c r="E36" s="30" t="s">
        <v>128</v>
      </c>
      <c r="F36" s="30" t="s">
        <v>56</v>
      </c>
      <c r="G36" s="30">
        <v>37</v>
      </c>
      <c r="H36" s="26">
        <v>25000000</v>
      </c>
      <c r="I36" s="26">
        <f>Tabla2[[#This Row],[VU (COP)]]*Tabla2[[#This Row],[CANTIDAD]]</f>
        <v>925000000</v>
      </c>
      <c r="J36" s="26">
        <f>Tabla2[[#This Row],[TOTAL (COP)]]/$M$1</f>
        <v>210227.27272727274</v>
      </c>
      <c r="K36" s="5"/>
      <c r="L36" s="5"/>
      <c r="M36" s="5"/>
    </row>
    <row r="37" spans="1:13" x14ac:dyDescent="0.25">
      <c r="A37" s="178" t="s">
        <v>112</v>
      </c>
      <c r="B37" s="30" t="s">
        <v>113</v>
      </c>
      <c r="C37" s="30" t="s">
        <v>131</v>
      </c>
      <c r="D37" s="185" t="s">
        <v>132</v>
      </c>
      <c r="E37" s="30" t="s">
        <v>128</v>
      </c>
      <c r="F37" s="30" t="s">
        <v>56</v>
      </c>
      <c r="G37" s="30">
        <v>37</v>
      </c>
      <c r="H37" s="26">
        <v>30000000</v>
      </c>
      <c r="I37" s="26">
        <f>Tabla2[[#This Row],[VU (COP)]]*Tabla2[[#This Row],[CANTIDAD]]</f>
        <v>1110000000</v>
      </c>
      <c r="J37" s="26">
        <f>Tabla2[[#This Row],[TOTAL (COP)]]/$M$1</f>
        <v>252272.72727272726</v>
      </c>
      <c r="K37" s="5"/>
      <c r="L37" s="5"/>
      <c r="M37" s="5"/>
    </row>
    <row r="38" spans="1:13" x14ac:dyDescent="0.25">
      <c r="A38" s="178" t="s">
        <v>112</v>
      </c>
      <c r="B38" s="30" t="s">
        <v>113</v>
      </c>
      <c r="C38" s="30" t="s">
        <v>133</v>
      </c>
      <c r="D38" s="185" t="s">
        <v>134</v>
      </c>
      <c r="E38" s="30" t="s">
        <v>128</v>
      </c>
      <c r="F38" s="30" t="s">
        <v>56</v>
      </c>
      <c r="G38" s="30">
        <v>37</v>
      </c>
      <c r="H38" s="26">
        <v>25000000</v>
      </c>
      <c r="I38" s="26">
        <f>Tabla2[[#This Row],[VU (COP)]]*Tabla2[[#This Row],[CANTIDAD]]</f>
        <v>925000000</v>
      </c>
      <c r="J38" s="26">
        <f>Tabla2[[#This Row],[TOTAL (COP)]]/$M$1</f>
        <v>210227.27272727274</v>
      </c>
      <c r="K38" s="5"/>
      <c r="L38" s="5"/>
      <c r="M38" s="5"/>
    </row>
    <row r="39" spans="1:13" x14ac:dyDescent="0.25">
      <c r="A39" s="178" t="s">
        <v>112</v>
      </c>
      <c r="B39" s="30" t="s">
        <v>113</v>
      </c>
      <c r="C39" s="30" t="s">
        <v>135</v>
      </c>
      <c r="D39" s="185" t="s">
        <v>136</v>
      </c>
      <c r="E39" s="30" t="s">
        <v>55</v>
      </c>
      <c r="F39" s="30" t="s">
        <v>56</v>
      </c>
      <c r="G39" s="30">
        <v>37</v>
      </c>
      <c r="H39" s="26">
        <v>20000000</v>
      </c>
      <c r="I39" s="26">
        <f>Tabla2[[#This Row],[VU (COP)]]*Tabla2[[#This Row],[CANTIDAD]]</f>
        <v>740000000</v>
      </c>
      <c r="J39" s="26">
        <f>Tabla2[[#This Row],[TOTAL (COP)]]/$M$1</f>
        <v>168181.81818181818</v>
      </c>
      <c r="K39" s="5"/>
      <c r="L39" s="5"/>
      <c r="M39" s="5"/>
    </row>
    <row r="40" spans="1:13" x14ac:dyDescent="0.25">
      <c r="A40" s="178" t="s">
        <v>112</v>
      </c>
      <c r="B40" s="30" t="s">
        <v>113</v>
      </c>
      <c r="C40" s="30" t="s">
        <v>137</v>
      </c>
      <c r="D40" s="185" t="s">
        <v>138</v>
      </c>
      <c r="E40" s="30" t="s">
        <v>128</v>
      </c>
      <c r="F40" s="30" t="s">
        <v>56</v>
      </c>
      <c r="G40" s="30">
        <v>37</v>
      </c>
      <c r="H40" s="26">
        <v>15000000</v>
      </c>
      <c r="I40" s="26">
        <f>Tabla2[[#This Row],[VU (COP)]]*Tabla2[[#This Row],[CANTIDAD]]</f>
        <v>555000000</v>
      </c>
      <c r="J40" s="26">
        <f>Tabla2[[#This Row],[TOTAL (COP)]]/$M$1</f>
        <v>126136.36363636363</v>
      </c>
      <c r="K40" s="5"/>
      <c r="L40" s="5"/>
      <c r="M40" s="5"/>
    </row>
    <row r="41" spans="1:13" x14ac:dyDescent="0.25">
      <c r="A41" s="178" t="s">
        <v>112</v>
      </c>
      <c r="B41" s="30" t="s">
        <v>113</v>
      </c>
      <c r="C41" s="30" t="s">
        <v>139</v>
      </c>
      <c r="D41" s="185" t="s">
        <v>140</v>
      </c>
      <c r="E41" s="30" t="s">
        <v>141</v>
      </c>
      <c r="F41" s="30" t="s">
        <v>56</v>
      </c>
      <c r="G41" s="30">
        <v>1</v>
      </c>
      <c r="H41" s="26">
        <v>200000000</v>
      </c>
      <c r="I41" s="26">
        <f>Tabla2[[#This Row],[VU (COP)]]*Tabla2[[#This Row],[CANTIDAD]]</f>
        <v>200000000</v>
      </c>
      <c r="J41" s="26">
        <f>Tabla2[[#This Row],[TOTAL (COP)]]/$M$1</f>
        <v>45454.545454545456</v>
      </c>
      <c r="K41" s="5"/>
      <c r="L41" s="5"/>
      <c r="M41" s="5"/>
    </row>
    <row r="42" spans="1:13" x14ac:dyDescent="0.25">
      <c r="A42" s="178" t="s">
        <v>112</v>
      </c>
      <c r="B42" s="30" t="s">
        <v>113</v>
      </c>
      <c r="C42" s="30" t="s">
        <v>142</v>
      </c>
      <c r="D42" s="185" t="s">
        <v>143</v>
      </c>
      <c r="E42" s="30" t="s">
        <v>141</v>
      </c>
      <c r="F42" s="30" t="s">
        <v>56</v>
      </c>
      <c r="G42" s="30">
        <v>1</v>
      </c>
      <c r="H42" s="26">
        <v>150000000</v>
      </c>
      <c r="I42" s="26">
        <f>Tabla2[[#This Row],[VU (COP)]]*Tabla2[[#This Row],[CANTIDAD]]</f>
        <v>150000000</v>
      </c>
      <c r="J42" s="26">
        <f>Tabla2[[#This Row],[TOTAL (COP)]]/$M$1</f>
        <v>34090.909090909088</v>
      </c>
      <c r="K42" s="5"/>
      <c r="L42" s="5"/>
      <c r="M42" s="5"/>
    </row>
    <row r="43" spans="1:13" x14ac:dyDescent="0.25">
      <c r="A43" s="178" t="s">
        <v>112</v>
      </c>
      <c r="B43" s="30" t="s">
        <v>113</v>
      </c>
      <c r="C43" s="30" t="s">
        <v>144</v>
      </c>
      <c r="D43" s="185" t="s">
        <v>145</v>
      </c>
      <c r="E43" s="30" t="s">
        <v>141</v>
      </c>
      <c r="F43" s="30" t="s">
        <v>56</v>
      </c>
      <c r="G43" s="30">
        <v>1</v>
      </c>
      <c r="H43" s="26">
        <v>100000000</v>
      </c>
      <c r="I43" s="26">
        <f>Tabla2[[#This Row],[VU (COP)]]*Tabla2[[#This Row],[CANTIDAD]]</f>
        <v>100000000</v>
      </c>
      <c r="J43" s="26">
        <f>Tabla2[[#This Row],[TOTAL (COP)]]/$M$1</f>
        <v>22727.272727272728</v>
      </c>
      <c r="K43" s="5"/>
      <c r="L43" s="5"/>
      <c r="M43" s="5"/>
    </row>
    <row r="44" spans="1:13" x14ac:dyDescent="0.25">
      <c r="A44" s="178" t="s">
        <v>112</v>
      </c>
      <c r="B44" s="30" t="s">
        <v>113</v>
      </c>
      <c r="C44" s="30" t="s">
        <v>146</v>
      </c>
      <c r="D44" s="185" t="s">
        <v>147</v>
      </c>
      <c r="E44" s="30" t="s">
        <v>55</v>
      </c>
      <c r="F44" s="30" t="s">
        <v>56</v>
      </c>
      <c r="G44" s="30">
        <v>1</v>
      </c>
      <c r="H44" s="26">
        <v>1774000000</v>
      </c>
      <c r="I44" s="26">
        <f>Tabla2[[#This Row],[VU (COP)]]*Tabla2[[#This Row],[CANTIDAD]]</f>
        <v>1774000000</v>
      </c>
      <c r="J44" s="26">
        <f>Tabla2[[#This Row],[TOTAL (COP)]]/$M$1</f>
        <v>403181.81818181818</v>
      </c>
      <c r="K44" s="5"/>
      <c r="L44" s="5"/>
      <c r="M44" s="5"/>
    </row>
    <row r="45" spans="1:13" ht="39" x14ac:dyDescent="0.25">
      <c r="A45" s="178" t="s">
        <v>112</v>
      </c>
      <c r="B45" s="30" t="s">
        <v>113</v>
      </c>
      <c r="C45" s="30" t="s">
        <v>148</v>
      </c>
      <c r="D45" s="185" t="s">
        <v>149</v>
      </c>
      <c r="E45" s="30" t="s">
        <v>55</v>
      </c>
      <c r="F45" s="30" t="s">
        <v>56</v>
      </c>
      <c r="G45" s="30">
        <v>37</v>
      </c>
      <c r="H45" s="26">
        <v>50000000</v>
      </c>
      <c r="I45" s="26">
        <f>Tabla2[[#This Row],[VU (COP)]]*Tabla2[[#This Row],[CANTIDAD]]</f>
        <v>1850000000</v>
      </c>
      <c r="J45" s="26">
        <f>Tabla2[[#This Row],[TOTAL (COP)]]/$M$1</f>
        <v>420454.54545454547</v>
      </c>
      <c r="K45" s="5"/>
      <c r="L45" s="5"/>
      <c r="M45" s="5"/>
    </row>
    <row r="46" spans="1:13" ht="39" x14ac:dyDescent="0.25">
      <c r="A46" s="178" t="s">
        <v>112</v>
      </c>
      <c r="B46" s="30" t="s">
        <v>150</v>
      </c>
      <c r="C46" s="30" t="s">
        <v>151</v>
      </c>
      <c r="D46" s="185" t="s">
        <v>152</v>
      </c>
      <c r="E46" s="30" t="s">
        <v>55</v>
      </c>
      <c r="F46" s="30" t="s">
        <v>56</v>
      </c>
      <c r="G46" s="30">
        <v>37</v>
      </c>
      <c r="H46" s="26">
        <v>45000000</v>
      </c>
      <c r="I46" s="26">
        <f>Tabla2[[#This Row],[VU (COP)]]*Tabla2[[#This Row],[CANTIDAD]]</f>
        <v>1665000000</v>
      </c>
      <c r="J46" s="26">
        <f>Tabla2[[#This Row],[TOTAL (COP)]]/$M$1</f>
        <v>378409.09090909088</v>
      </c>
      <c r="K46" s="5"/>
      <c r="L46" s="5"/>
      <c r="M46" s="5"/>
    </row>
    <row r="47" spans="1:13" ht="39" x14ac:dyDescent="0.25">
      <c r="A47" s="178" t="s">
        <v>112</v>
      </c>
      <c r="B47" s="30" t="s">
        <v>150</v>
      </c>
      <c r="C47" s="30" t="s">
        <v>153</v>
      </c>
      <c r="D47" s="185" t="s">
        <v>154</v>
      </c>
      <c r="E47" s="30" t="s">
        <v>55</v>
      </c>
      <c r="F47" s="30" t="s">
        <v>56</v>
      </c>
      <c r="G47" s="30">
        <v>37</v>
      </c>
      <c r="H47" s="26">
        <v>8000000</v>
      </c>
      <c r="I47" s="26">
        <f>Tabla2[[#This Row],[VU (COP)]]*Tabla2[[#This Row],[CANTIDAD]]</f>
        <v>296000000</v>
      </c>
      <c r="J47" s="26">
        <f>Tabla2[[#This Row],[TOTAL (COP)]]/$M$1</f>
        <v>67272.727272727279</v>
      </c>
      <c r="K47" s="5"/>
      <c r="L47" s="5"/>
      <c r="M47" s="5"/>
    </row>
    <row r="48" spans="1:13" ht="39" x14ac:dyDescent="0.25">
      <c r="A48" s="178" t="s">
        <v>112</v>
      </c>
      <c r="B48" s="30" t="s">
        <v>150</v>
      </c>
      <c r="C48" s="30" t="s">
        <v>155</v>
      </c>
      <c r="D48" s="185" t="s">
        <v>156</v>
      </c>
      <c r="E48" s="30" t="s">
        <v>55</v>
      </c>
      <c r="F48" s="30" t="s">
        <v>56</v>
      </c>
      <c r="G48" s="30">
        <v>30</v>
      </c>
      <c r="H48" s="26">
        <v>25000000</v>
      </c>
      <c r="I48" s="26">
        <f>Tabla2[[#This Row],[VU (COP)]]*Tabla2[[#This Row],[CANTIDAD]]</f>
        <v>750000000</v>
      </c>
      <c r="J48" s="26">
        <f>Tabla2[[#This Row],[TOTAL (COP)]]/$M$1</f>
        <v>170454.54545454544</v>
      </c>
      <c r="K48" s="5"/>
      <c r="L48" s="5"/>
      <c r="M48" s="5"/>
    </row>
    <row r="49" spans="1:13" ht="26.25" x14ac:dyDescent="0.25">
      <c r="A49" s="178" t="s">
        <v>112</v>
      </c>
      <c r="B49" s="30" t="s">
        <v>150</v>
      </c>
      <c r="C49" s="30" t="s">
        <v>157</v>
      </c>
      <c r="D49" s="185" t="s">
        <v>158</v>
      </c>
      <c r="E49" s="30" t="s">
        <v>55</v>
      </c>
      <c r="F49" s="30" t="s">
        <v>56</v>
      </c>
      <c r="G49" s="30">
        <v>1</v>
      </c>
      <c r="H49" s="26">
        <v>80000000</v>
      </c>
      <c r="I49" s="26">
        <f>Tabla2[[#This Row],[VU (COP)]]*Tabla2[[#This Row],[CANTIDAD]]</f>
        <v>80000000</v>
      </c>
      <c r="J49" s="26">
        <f>Tabla2[[#This Row],[TOTAL (COP)]]/$M$1</f>
        <v>18181.81818181818</v>
      </c>
      <c r="K49" s="5"/>
      <c r="L49" s="5"/>
      <c r="M49" s="5"/>
    </row>
    <row r="50" spans="1:13" ht="26.25" x14ac:dyDescent="0.25">
      <c r="A50" s="178" t="s">
        <v>112</v>
      </c>
      <c r="B50" s="30" t="s">
        <v>150</v>
      </c>
      <c r="C50" s="30" t="s">
        <v>159</v>
      </c>
      <c r="D50" s="185" t="s">
        <v>160</v>
      </c>
      <c r="E50" s="30" t="s">
        <v>55</v>
      </c>
      <c r="F50" s="30" t="s">
        <v>56</v>
      </c>
      <c r="G50" s="30">
        <v>37</v>
      </c>
      <c r="H50" s="26">
        <v>5000000</v>
      </c>
      <c r="I50" s="26">
        <f>Tabla2[[#This Row],[VU (COP)]]*Tabla2[[#This Row],[CANTIDAD]]</f>
        <v>185000000</v>
      </c>
      <c r="J50" s="26">
        <f>Tabla2[[#This Row],[TOTAL (COP)]]/$M$1</f>
        <v>42045.454545454544</v>
      </c>
      <c r="K50" s="5"/>
      <c r="L50" s="5"/>
      <c r="M50" s="5"/>
    </row>
    <row r="51" spans="1:13" x14ac:dyDescent="0.25">
      <c r="A51" s="178" t="s">
        <v>112</v>
      </c>
      <c r="B51" s="30" t="s">
        <v>150</v>
      </c>
      <c r="C51" s="30" t="s">
        <v>161</v>
      </c>
      <c r="D51" s="185" t="s">
        <v>66</v>
      </c>
      <c r="E51" s="30" t="s">
        <v>55</v>
      </c>
      <c r="F51" s="30" t="s">
        <v>56</v>
      </c>
      <c r="G51" s="30">
        <v>1</v>
      </c>
      <c r="H51" s="26">
        <v>150000000</v>
      </c>
      <c r="I51" s="26">
        <f>Tabla2[[#This Row],[VU (COP)]]*Tabla2[[#This Row],[CANTIDAD]]</f>
        <v>150000000</v>
      </c>
      <c r="J51" s="26">
        <f>Tabla2[[#This Row],[TOTAL (COP)]]/$M$1</f>
        <v>34090.909090909088</v>
      </c>
      <c r="K51" s="5"/>
      <c r="L51" s="5"/>
      <c r="M51" s="5"/>
    </row>
    <row r="52" spans="1:13" x14ac:dyDescent="0.25">
      <c r="A52" s="178" t="s">
        <v>112</v>
      </c>
      <c r="B52" s="30" t="s">
        <v>150</v>
      </c>
      <c r="C52" s="30" t="s">
        <v>162</v>
      </c>
      <c r="D52" s="185" t="s">
        <v>163</v>
      </c>
      <c r="E52" s="30" t="s">
        <v>141</v>
      </c>
      <c r="F52" s="30" t="s">
        <v>56</v>
      </c>
      <c r="G52" s="30">
        <v>1</v>
      </c>
      <c r="H52" s="26">
        <v>100000000</v>
      </c>
      <c r="I52" s="26">
        <f>Tabla2[[#This Row],[VU (COP)]]*Tabla2[[#This Row],[CANTIDAD]]</f>
        <v>100000000</v>
      </c>
      <c r="J52" s="26">
        <f>Tabla2[[#This Row],[TOTAL (COP)]]/$M$1</f>
        <v>22727.272727272728</v>
      </c>
      <c r="K52" s="5"/>
      <c r="L52" s="5"/>
      <c r="M52" s="5"/>
    </row>
    <row r="53" spans="1:13" x14ac:dyDescent="0.25">
      <c r="A53" s="178" t="s">
        <v>112</v>
      </c>
      <c r="B53" s="30" t="s">
        <v>150</v>
      </c>
      <c r="C53" s="30" t="s">
        <v>164</v>
      </c>
      <c r="D53" s="185" t="s">
        <v>165</v>
      </c>
      <c r="E53" s="30" t="s">
        <v>141</v>
      </c>
      <c r="F53" s="30" t="s">
        <v>56</v>
      </c>
      <c r="G53" s="30">
        <v>1</v>
      </c>
      <c r="H53" s="26">
        <v>80000000</v>
      </c>
      <c r="I53" s="26">
        <f>Tabla2[[#This Row],[VU (COP)]]*Tabla2[[#This Row],[CANTIDAD]]</f>
        <v>80000000</v>
      </c>
      <c r="J53" s="26">
        <f>Tabla2[[#This Row],[TOTAL (COP)]]/$M$1</f>
        <v>18181.81818181818</v>
      </c>
      <c r="K53" s="5"/>
      <c r="L53" s="5"/>
      <c r="M53" s="5"/>
    </row>
    <row r="54" spans="1:13" x14ac:dyDescent="0.25">
      <c r="A54" s="178" t="s">
        <v>112</v>
      </c>
      <c r="B54" s="30" t="s">
        <v>150</v>
      </c>
      <c r="C54" s="30" t="s">
        <v>166</v>
      </c>
      <c r="D54" s="185" t="s">
        <v>147</v>
      </c>
      <c r="E54" s="30" t="s">
        <v>55</v>
      </c>
      <c r="F54" s="30" t="s">
        <v>56</v>
      </c>
      <c r="G54" s="30">
        <v>1</v>
      </c>
      <c r="H54" s="26">
        <v>312000000</v>
      </c>
      <c r="I54" s="26">
        <f>Tabla2[[#This Row],[VU (COP)]]*Tabla2[[#This Row],[CANTIDAD]]</f>
        <v>312000000</v>
      </c>
      <c r="J54" s="26">
        <f>Tabla2[[#This Row],[TOTAL (COP)]]/$M$1</f>
        <v>70909.090909090912</v>
      </c>
      <c r="K54" s="5"/>
      <c r="L54" s="5"/>
      <c r="M54" s="5"/>
    </row>
    <row r="55" spans="1:13" ht="39" x14ac:dyDescent="0.25">
      <c r="A55" s="178" t="s">
        <v>112</v>
      </c>
      <c r="B55" s="30" t="s">
        <v>167</v>
      </c>
      <c r="C55" s="30" t="s">
        <v>168</v>
      </c>
      <c r="D55" s="185" t="s">
        <v>169</v>
      </c>
      <c r="E55" s="30" t="s">
        <v>55</v>
      </c>
      <c r="F55" s="30" t="s">
        <v>170</v>
      </c>
      <c r="G55" s="30">
        <v>579</v>
      </c>
      <c r="H55" s="26">
        <v>9811013</v>
      </c>
      <c r="I55" s="26">
        <f>Tabla2[[#This Row],[VU (COP)]]*Tabla2[[#This Row],[CANTIDAD]]</f>
        <v>5680576527</v>
      </c>
      <c r="J55" s="26">
        <f>Tabla2[[#This Row],[TOTAL (COP)]]/$M$1</f>
        <v>1291040.1197727274</v>
      </c>
      <c r="K55" s="5"/>
      <c r="L55" s="5"/>
      <c r="M55" s="5"/>
    </row>
    <row r="56" spans="1:13" ht="26.25" x14ac:dyDescent="0.25">
      <c r="A56" s="178" t="s">
        <v>112</v>
      </c>
      <c r="B56" s="30" t="s">
        <v>167</v>
      </c>
      <c r="C56" s="30" t="s">
        <v>171</v>
      </c>
      <c r="D56" s="185" t="s">
        <v>172</v>
      </c>
      <c r="E56" s="30" t="s">
        <v>128</v>
      </c>
      <c r="F56" s="30" t="s">
        <v>170</v>
      </c>
      <c r="G56" s="30">
        <v>579</v>
      </c>
      <c r="H56" s="26">
        <v>90188987</v>
      </c>
      <c r="I56" s="26">
        <f>Tabla2[[#This Row],[VU (COP)]]*Tabla2[[#This Row],[CANTIDAD]]</f>
        <v>52219423473</v>
      </c>
      <c r="J56" s="26">
        <f>Tabla2[[#This Row],[TOTAL (COP)]]/$M$1</f>
        <v>11868050.789318182</v>
      </c>
      <c r="K56" s="5"/>
      <c r="L56" s="5"/>
      <c r="M56" s="5"/>
    </row>
    <row r="57" spans="1:13" x14ac:dyDescent="0.25">
      <c r="A57" s="178" t="s">
        <v>112</v>
      </c>
      <c r="B57" s="30" t="s">
        <v>167</v>
      </c>
      <c r="C57" s="30" t="s">
        <v>173</v>
      </c>
      <c r="D57" s="185" t="s">
        <v>174</v>
      </c>
      <c r="E57" s="30" t="s">
        <v>55</v>
      </c>
      <c r="F57" s="30" t="s">
        <v>175</v>
      </c>
      <c r="G57" s="30">
        <v>1448</v>
      </c>
      <c r="H57" s="26">
        <v>15845</v>
      </c>
      <c r="I57" s="26">
        <f>Tabla2[[#This Row],[VU (COP)]]*Tabla2[[#This Row],[CANTIDAD]]</f>
        <v>22943560</v>
      </c>
      <c r="J57" s="26">
        <f>Tabla2[[#This Row],[TOTAL (COP)]]/$M$1</f>
        <v>5214.4454545454546</v>
      </c>
      <c r="K57" s="5"/>
      <c r="L57" s="5"/>
      <c r="M57" s="5"/>
    </row>
    <row r="58" spans="1:13" x14ac:dyDescent="0.25">
      <c r="A58" s="178" t="s">
        <v>112</v>
      </c>
      <c r="B58" s="30" t="s">
        <v>167</v>
      </c>
      <c r="C58" s="30" t="s">
        <v>176</v>
      </c>
      <c r="D58" s="185" t="s">
        <v>177</v>
      </c>
      <c r="E58" s="30" t="s">
        <v>55</v>
      </c>
      <c r="F58" s="30" t="s">
        <v>56</v>
      </c>
      <c r="G58" s="30">
        <v>1930</v>
      </c>
      <c r="H58" s="26">
        <v>1350000</v>
      </c>
      <c r="I58" s="26">
        <f>Tabla2[[#This Row],[VU (COP)]]*Tabla2[[#This Row],[CANTIDAD]]</f>
        <v>2605500000</v>
      </c>
      <c r="J58" s="26">
        <f>Tabla2[[#This Row],[TOTAL (COP)]]/$M$1</f>
        <v>592159.09090909094</v>
      </c>
      <c r="K58" s="5"/>
      <c r="L58" s="5"/>
      <c r="M58" s="5"/>
    </row>
    <row r="59" spans="1:13" x14ac:dyDescent="0.25">
      <c r="A59" s="178" t="s">
        <v>112</v>
      </c>
      <c r="B59" s="30" t="s">
        <v>167</v>
      </c>
      <c r="C59" s="30" t="s">
        <v>178</v>
      </c>
      <c r="D59" s="185" t="s">
        <v>179</v>
      </c>
      <c r="E59" s="30" t="s">
        <v>55</v>
      </c>
      <c r="F59" s="30" t="s">
        <v>56</v>
      </c>
      <c r="G59" s="30">
        <v>5790</v>
      </c>
      <c r="H59" s="26">
        <v>35000</v>
      </c>
      <c r="I59" s="26">
        <f>Tabla2[[#This Row],[VU (COP)]]*Tabla2[[#This Row],[CANTIDAD]]</f>
        <v>202650000</v>
      </c>
      <c r="J59" s="26">
        <f>Tabla2[[#This Row],[TOTAL (COP)]]/$M$1</f>
        <v>46056.818181818184</v>
      </c>
      <c r="K59" s="5"/>
      <c r="L59" s="5"/>
      <c r="M59" s="5"/>
    </row>
    <row r="60" spans="1:13" x14ac:dyDescent="0.25">
      <c r="A60" s="178" t="s">
        <v>112</v>
      </c>
      <c r="B60" s="30" t="s">
        <v>167</v>
      </c>
      <c r="C60" s="30" t="s">
        <v>180</v>
      </c>
      <c r="D60" s="185" t="s">
        <v>181</v>
      </c>
      <c r="E60" s="30" t="s">
        <v>55</v>
      </c>
      <c r="F60" s="30" t="s">
        <v>56</v>
      </c>
      <c r="G60" s="30">
        <v>2</v>
      </c>
      <c r="H60" s="26">
        <v>50000000</v>
      </c>
      <c r="I60" s="26">
        <f>Tabla2[[#This Row],[VU (COP)]]*Tabla2[[#This Row],[CANTIDAD]]</f>
        <v>100000000</v>
      </c>
      <c r="J60" s="26">
        <f>Tabla2[[#This Row],[TOTAL (COP)]]/$M$1</f>
        <v>22727.272727272728</v>
      </c>
      <c r="K60" s="5"/>
      <c r="L60" s="5"/>
      <c r="M60" s="5"/>
    </row>
    <row r="61" spans="1:13" x14ac:dyDescent="0.25">
      <c r="A61" s="178" t="s">
        <v>112</v>
      </c>
      <c r="B61" s="30" t="s">
        <v>167</v>
      </c>
      <c r="C61" s="30" t="s">
        <v>182</v>
      </c>
      <c r="D61" s="185" t="s">
        <v>183</v>
      </c>
      <c r="E61" s="30" t="s">
        <v>55</v>
      </c>
      <c r="F61" s="30" t="s">
        <v>56</v>
      </c>
      <c r="G61" s="30">
        <v>2</v>
      </c>
      <c r="H61" s="26">
        <v>90000000</v>
      </c>
      <c r="I61" s="26">
        <f>Tabla2[[#This Row],[VU (COP)]]*Tabla2[[#This Row],[CANTIDAD]]</f>
        <v>180000000</v>
      </c>
      <c r="J61" s="26">
        <f>Tabla2[[#This Row],[TOTAL (COP)]]/$M$1</f>
        <v>40909.090909090912</v>
      </c>
      <c r="K61" s="5"/>
      <c r="L61" s="5"/>
      <c r="M61" s="5"/>
    </row>
    <row r="62" spans="1:13" x14ac:dyDescent="0.25">
      <c r="A62" s="178" t="s">
        <v>112</v>
      </c>
      <c r="B62" s="30" t="s">
        <v>167</v>
      </c>
      <c r="C62" s="30" t="s">
        <v>184</v>
      </c>
      <c r="D62" s="185" t="s">
        <v>185</v>
      </c>
      <c r="E62" s="30" t="s">
        <v>55</v>
      </c>
      <c r="F62" s="30" t="s">
        <v>56</v>
      </c>
      <c r="G62" s="30">
        <v>6800</v>
      </c>
      <c r="H62" s="26">
        <v>25000</v>
      </c>
      <c r="I62" s="26">
        <f>Tabla2[[#This Row],[VU (COP)]]*Tabla2[[#This Row],[CANTIDAD]]</f>
        <v>170000000</v>
      </c>
      <c r="J62" s="26">
        <f>Tabla2[[#This Row],[TOTAL (COP)]]/$M$1</f>
        <v>38636.36363636364</v>
      </c>
      <c r="K62" s="5"/>
      <c r="L62" s="5"/>
      <c r="M62" s="5"/>
    </row>
    <row r="63" spans="1:13" x14ac:dyDescent="0.25">
      <c r="A63" s="178" t="s">
        <v>112</v>
      </c>
      <c r="B63" s="30" t="s">
        <v>167</v>
      </c>
      <c r="C63" s="30" t="s">
        <v>186</v>
      </c>
      <c r="D63" s="185" t="s">
        <v>187</v>
      </c>
      <c r="E63" s="30" t="s">
        <v>55</v>
      </c>
      <c r="F63" s="30" t="s">
        <v>56</v>
      </c>
      <c r="G63" s="30">
        <v>6200</v>
      </c>
      <c r="H63" s="26">
        <v>15000</v>
      </c>
      <c r="I63" s="26">
        <f>Tabla2[[#This Row],[VU (COP)]]*Tabla2[[#This Row],[CANTIDAD]]</f>
        <v>93000000</v>
      </c>
      <c r="J63" s="26">
        <f>Tabla2[[#This Row],[TOTAL (COP)]]/$M$1</f>
        <v>21136.363636363636</v>
      </c>
      <c r="K63" s="5"/>
      <c r="L63" s="5"/>
      <c r="M63" s="5"/>
    </row>
    <row r="64" spans="1:13" ht="26.25" x14ac:dyDescent="0.25">
      <c r="A64" s="178" t="s">
        <v>112</v>
      </c>
      <c r="B64" s="30" t="s">
        <v>167</v>
      </c>
      <c r="C64" s="30" t="s">
        <v>188</v>
      </c>
      <c r="D64" s="185" t="s">
        <v>189</v>
      </c>
      <c r="E64" s="30" t="s">
        <v>55</v>
      </c>
      <c r="F64" s="30" t="s">
        <v>170</v>
      </c>
      <c r="G64" s="30">
        <v>16</v>
      </c>
      <c r="H64" s="26">
        <v>8000000</v>
      </c>
      <c r="I64" s="26">
        <f>Tabla2[[#This Row],[VU (COP)]]*Tabla2[[#This Row],[CANTIDAD]]</f>
        <v>128000000</v>
      </c>
      <c r="J64" s="26">
        <f>Tabla2[[#This Row],[TOTAL (COP)]]/$M$1</f>
        <v>29090.909090909092</v>
      </c>
      <c r="K64" s="5"/>
      <c r="L64" s="5"/>
      <c r="M64" s="5"/>
    </row>
    <row r="65" spans="1:13" ht="51.75" x14ac:dyDescent="0.25">
      <c r="A65" s="178" t="s">
        <v>112</v>
      </c>
      <c r="B65" s="30" t="s">
        <v>167</v>
      </c>
      <c r="C65" s="30" t="s">
        <v>190</v>
      </c>
      <c r="D65" s="185" t="s">
        <v>191</v>
      </c>
      <c r="E65" s="30" t="s">
        <v>55</v>
      </c>
      <c r="F65" s="30" t="s">
        <v>192</v>
      </c>
      <c r="G65" s="30">
        <v>1</v>
      </c>
      <c r="H65" s="26">
        <v>1200000000</v>
      </c>
      <c r="I65" s="26">
        <f>Tabla2[[#This Row],[VU (COP)]]*Tabla2[[#This Row],[CANTIDAD]]</f>
        <v>1200000000</v>
      </c>
      <c r="J65" s="26">
        <f>Tabla2[[#This Row],[TOTAL (COP)]]/$M$1</f>
        <v>272727.27272727271</v>
      </c>
      <c r="K65" s="5"/>
      <c r="L65" s="5"/>
      <c r="M65" s="5"/>
    </row>
    <row r="66" spans="1:13" ht="26.25" x14ac:dyDescent="0.25">
      <c r="A66" s="178" t="s">
        <v>193</v>
      </c>
      <c r="B66" s="30" t="s">
        <v>194</v>
      </c>
      <c r="C66" s="30" t="s">
        <v>195</v>
      </c>
      <c r="D66" s="185" t="s">
        <v>196</v>
      </c>
      <c r="E66" s="30" t="s">
        <v>55</v>
      </c>
      <c r="F66" s="30" t="s">
        <v>56</v>
      </c>
      <c r="G66" s="30">
        <v>73</v>
      </c>
      <c r="H66" s="26">
        <v>30000000</v>
      </c>
      <c r="I66" s="26">
        <f>Tabla2[[#This Row],[VU (COP)]]*Tabla2[[#This Row],[CANTIDAD]]</f>
        <v>2190000000</v>
      </c>
      <c r="J66" s="26">
        <f>Tabla2[[#This Row],[TOTAL (COP)]]/$M$1</f>
        <v>497727.27272727271</v>
      </c>
      <c r="K66" s="5"/>
      <c r="L66" s="5"/>
      <c r="M66" s="5"/>
    </row>
    <row r="67" spans="1:13" x14ac:dyDescent="0.25">
      <c r="A67" s="178" t="s">
        <v>193</v>
      </c>
      <c r="B67" s="30" t="s">
        <v>194</v>
      </c>
      <c r="C67" s="30" t="s">
        <v>197</v>
      </c>
      <c r="D67" s="185" t="s">
        <v>198</v>
      </c>
      <c r="E67" s="30" t="s">
        <v>55</v>
      </c>
      <c r="F67" s="30" t="s">
        <v>56</v>
      </c>
      <c r="G67" s="30">
        <v>12</v>
      </c>
      <c r="H67" s="26">
        <v>6000000</v>
      </c>
      <c r="I67" s="26">
        <f>Tabla2[[#This Row],[VU (COP)]]*Tabla2[[#This Row],[CANTIDAD]]</f>
        <v>72000000</v>
      </c>
      <c r="J67" s="26">
        <f>Tabla2[[#This Row],[TOTAL (COP)]]/$M$1</f>
        <v>16363.636363636364</v>
      </c>
      <c r="K67" s="5"/>
      <c r="L67" s="5"/>
      <c r="M67" s="5"/>
    </row>
    <row r="68" spans="1:13" x14ac:dyDescent="0.25">
      <c r="A68" s="178" t="s">
        <v>193</v>
      </c>
      <c r="B68" s="30" t="s">
        <v>194</v>
      </c>
      <c r="C68" s="30" t="s">
        <v>199</v>
      </c>
      <c r="D68" s="185" t="s">
        <v>200</v>
      </c>
      <c r="E68" s="30" t="s">
        <v>55</v>
      </c>
      <c r="F68" s="30" t="s">
        <v>56</v>
      </c>
      <c r="G68" s="30">
        <v>8</v>
      </c>
      <c r="H68" s="26">
        <v>10000000</v>
      </c>
      <c r="I68" s="26">
        <f>Tabla2[[#This Row],[VU (COP)]]*Tabla2[[#This Row],[CANTIDAD]]</f>
        <v>80000000</v>
      </c>
      <c r="J68" s="26">
        <f>Tabla2[[#This Row],[TOTAL (COP)]]/$M$1</f>
        <v>18181.81818181818</v>
      </c>
      <c r="K68" s="5"/>
      <c r="L68" s="5"/>
      <c r="M68" s="5"/>
    </row>
    <row r="69" spans="1:13" x14ac:dyDescent="0.25">
      <c r="A69" s="178" t="s">
        <v>193</v>
      </c>
      <c r="B69" s="30" t="s">
        <v>194</v>
      </c>
      <c r="C69" s="30" t="s">
        <v>201</v>
      </c>
      <c r="D69" s="185" t="s">
        <v>202</v>
      </c>
      <c r="E69" s="30" t="s">
        <v>55</v>
      </c>
      <c r="F69" s="30" t="s">
        <v>56</v>
      </c>
      <c r="G69" s="30">
        <v>5</v>
      </c>
      <c r="H69" s="26">
        <v>7000000</v>
      </c>
      <c r="I69" s="26">
        <f>Tabla2[[#This Row],[VU (COP)]]*Tabla2[[#This Row],[CANTIDAD]]</f>
        <v>35000000</v>
      </c>
      <c r="J69" s="26">
        <f>Tabla2[[#This Row],[TOTAL (COP)]]/$M$1</f>
        <v>7954.545454545455</v>
      </c>
      <c r="K69" s="5"/>
      <c r="L69" s="5"/>
      <c r="M69" s="5"/>
    </row>
    <row r="70" spans="1:13" x14ac:dyDescent="0.25">
      <c r="A70" s="178" t="s">
        <v>193</v>
      </c>
      <c r="B70" s="30" t="s">
        <v>194</v>
      </c>
      <c r="C70" s="30" t="s">
        <v>203</v>
      </c>
      <c r="D70" s="185" t="s">
        <v>204</v>
      </c>
      <c r="E70" s="30" t="s">
        <v>55</v>
      </c>
      <c r="F70" s="30" t="s">
        <v>56</v>
      </c>
      <c r="G70" s="30">
        <v>1</v>
      </c>
      <c r="H70" s="26">
        <v>150000000</v>
      </c>
      <c r="I70" s="26">
        <f>Tabla2[[#This Row],[VU (COP)]]*Tabla2[[#This Row],[CANTIDAD]]</f>
        <v>150000000</v>
      </c>
      <c r="J70" s="26">
        <f>Tabla2[[#This Row],[TOTAL (COP)]]/$M$1</f>
        <v>34090.909090909088</v>
      </c>
      <c r="K70" s="5"/>
      <c r="L70" s="5"/>
      <c r="M70" s="5"/>
    </row>
    <row r="71" spans="1:13" x14ac:dyDescent="0.25">
      <c r="A71" s="178" t="s">
        <v>193</v>
      </c>
      <c r="B71" s="30" t="s">
        <v>194</v>
      </c>
      <c r="C71" s="30" t="s">
        <v>205</v>
      </c>
      <c r="D71" s="185" t="s">
        <v>206</v>
      </c>
      <c r="E71" s="30" t="s">
        <v>55</v>
      </c>
      <c r="F71" s="30" t="s">
        <v>56</v>
      </c>
      <c r="G71" s="30">
        <v>2</v>
      </c>
      <c r="H71" s="26">
        <v>80000000</v>
      </c>
      <c r="I71" s="26">
        <f>Tabla2[[#This Row],[VU (COP)]]*Tabla2[[#This Row],[CANTIDAD]]</f>
        <v>160000000</v>
      </c>
      <c r="J71" s="26">
        <f>Tabla2[[#This Row],[TOTAL (COP)]]/$M$1</f>
        <v>36363.63636363636</v>
      </c>
      <c r="K71" s="5"/>
      <c r="L71" s="5"/>
      <c r="M71" s="5"/>
    </row>
    <row r="72" spans="1:13" x14ac:dyDescent="0.25">
      <c r="A72" s="178" t="s">
        <v>193</v>
      </c>
      <c r="B72" s="30" t="s">
        <v>194</v>
      </c>
      <c r="C72" s="30" t="s">
        <v>207</v>
      </c>
      <c r="D72" s="185" t="s">
        <v>208</v>
      </c>
      <c r="E72" s="30" t="s">
        <v>55</v>
      </c>
      <c r="F72" s="30" t="s">
        <v>56</v>
      </c>
      <c r="G72" s="30">
        <v>1</v>
      </c>
      <c r="H72" s="26">
        <v>120000000</v>
      </c>
      <c r="I72" s="26">
        <f>Tabla2[[#This Row],[VU (COP)]]*Tabla2[[#This Row],[CANTIDAD]]</f>
        <v>120000000</v>
      </c>
      <c r="J72" s="26">
        <f>Tabla2[[#This Row],[TOTAL (COP)]]/$M$1</f>
        <v>27272.727272727272</v>
      </c>
      <c r="K72" s="5"/>
      <c r="L72" s="5"/>
      <c r="M72" s="5"/>
    </row>
    <row r="73" spans="1:13" x14ac:dyDescent="0.25">
      <c r="A73" s="178" t="s">
        <v>193</v>
      </c>
      <c r="B73" s="30" t="s">
        <v>194</v>
      </c>
      <c r="C73" s="30" t="s">
        <v>209</v>
      </c>
      <c r="D73" s="185" t="s">
        <v>210</v>
      </c>
      <c r="E73" s="30" t="s">
        <v>55</v>
      </c>
      <c r="F73" s="30" t="s">
        <v>56</v>
      </c>
      <c r="G73" s="30">
        <v>8</v>
      </c>
      <c r="H73" s="26">
        <v>15000000</v>
      </c>
      <c r="I73" s="26">
        <f>Tabla2[[#This Row],[VU (COP)]]*Tabla2[[#This Row],[CANTIDAD]]</f>
        <v>120000000</v>
      </c>
      <c r="J73" s="26">
        <f>Tabla2[[#This Row],[TOTAL (COP)]]/$M$1</f>
        <v>27272.727272727272</v>
      </c>
      <c r="K73" s="5"/>
      <c r="L73" s="5"/>
      <c r="M73" s="5"/>
    </row>
    <row r="74" spans="1:13" x14ac:dyDescent="0.25">
      <c r="A74" s="178" t="s">
        <v>193</v>
      </c>
      <c r="B74" s="30" t="s">
        <v>194</v>
      </c>
      <c r="C74" s="30" t="s">
        <v>211</v>
      </c>
      <c r="D74" s="185" t="s">
        <v>212</v>
      </c>
      <c r="E74" s="30" t="s">
        <v>141</v>
      </c>
      <c r="F74" s="30" t="s">
        <v>56</v>
      </c>
      <c r="G74" s="30">
        <v>73</v>
      </c>
      <c r="H74" s="26">
        <v>2000000</v>
      </c>
      <c r="I74" s="26">
        <f>Tabla2[[#This Row],[VU (COP)]]*Tabla2[[#This Row],[CANTIDAD]]</f>
        <v>146000000</v>
      </c>
      <c r="J74" s="26">
        <f>Tabla2[[#This Row],[TOTAL (COP)]]/$M$1</f>
        <v>33181.818181818184</v>
      </c>
      <c r="K74" s="5"/>
      <c r="L74" s="5"/>
      <c r="M74" s="5"/>
    </row>
    <row r="75" spans="1:13" x14ac:dyDescent="0.25">
      <c r="A75" s="178" t="s">
        <v>193</v>
      </c>
      <c r="B75" s="30" t="s">
        <v>194</v>
      </c>
      <c r="C75" s="30" t="s">
        <v>213</v>
      </c>
      <c r="D75" s="185" t="s">
        <v>147</v>
      </c>
      <c r="E75" s="30" t="s">
        <v>55</v>
      </c>
      <c r="F75" s="30" t="s">
        <v>56</v>
      </c>
      <c r="G75" s="30">
        <v>1</v>
      </c>
      <c r="H75" s="26">
        <v>307300000</v>
      </c>
      <c r="I75" s="26">
        <f>Tabla2[[#This Row],[VU (COP)]]*Tabla2[[#This Row],[CANTIDAD]]</f>
        <v>307300000</v>
      </c>
      <c r="J75" s="26">
        <f>Tabla2[[#This Row],[TOTAL (COP)]]/$M$1</f>
        <v>69840.909090909088</v>
      </c>
      <c r="K75" s="5"/>
      <c r="L75" s="5"/>
      <c r="M75" s="5"/>
    </row>
    <row r="76" spans="1:13" ht="26.25" x14ac:dyDescent="0.25">
      <c r="A76" s="178" t="s">
        <v>193</v>
      </c>
      <c r="B76" s="30" t="s">
        <v>214</v>
      </c>
      <c r="C76" s="30" t="s">
        <v>215</v>
      </c>
      <c r="D76" s="185" t="s">
        <v>216</v>
      </c>
      <c r="E76" s="30" t="s">
        <v>55</v>
      </c>
      <c r="F76" s="30" t="s">
        <v>56</v>
      </c>
      <c r="G76" s="30">
        <v>100</v>
      </c>
      <c r="H76" s="26">
        <v>3000000</v>
      </c>
      <c r="I76" s="26">
        <f>Tabla2[[#This Row],[VU (COP)]]*Tabla2[[#This Row],[CANTIDAD]]</f>
        <v>300000000</v>
      </c>
      <c r="J76" s="26">
        <f>Tabla2[[#This Row],[TOTAL (COP)]]/$M$1</f>
        <v>68181.818181818177</v>
      </c>
      <c r="K76" s="5"/>
      <c r="L76" s="5"/>
      <c r="M76" s="5"/>
    </row>
    <row r="77" spans="1:13" x14ac:dyDescent="0.25">
      <c r="A77" s="178" t="s">
        <v>193</v>
      </c>
      <c r="B77" s="30" t="s">
        <v>214</v>
      </c>
      <c r="C77" s="30" t="s">
        <v>217</v>
      </c>
      <c r="D77" s="185" t="s">
        <v>218</v>
      </c>
      <c r="E77" s="30" t="s">
        <v>55</v>
      </c>
      <c r="F77" s="30" t="s">
        <v>56</v>
      </c>
      <c r="G77" s="30">
        <v>1000</v>
      </c>
      <c r="H77" s="26">
        <v>25000</v>
      </c>
      <c r="I77" s="26">
        <f>Tabla2[[#This Row],[VU (COP)]]*Tabla2[[#This Row],[CANTIDAD]]</f>
        <v>25000000</v>
      </c>
      <c r="J77" s="26">
        <f>Tabla2[[#This Row],[TOTAL (COP)]]/$M$1</f>
        <v>5681.818181818182</v>
      </c>
      <c r="K77" s="5"/>
      <c r="L77" s="5"/>
      <c r="M77" s="5"/>
    </row>
    <row r="78" spans="1:13" x14ac:dyDescent="0.25">
      <c r="A78" s="178" t="s">
        <v>193</v>
      </c>
      <c r="B78" s="30" t="s">
        <v>214</v>
      </c>
      <c r="C78" s="30" t="s">
        <v>219</v>
      </c>
      <c r="D78" s="185" t="s">
        <v>220</v>
      </c>
      <c r="E78" s="30" t="s">
        <v>55</v>
      </c>
      <c r="F78" s="30" t="s">
        <v>56</v>
      </c>
      <c r="G78" s="30">
        <v>5</v>
      </c>
      <c r="H78" s="26">
        <v>50000000</v>
      </c>
      <c r="I78" s="26">
        <f>Tabla2[[#This Row],[VU (COP)]]*Tabla2[[#This Row],[CANTIDAD]]</f>
        <v>250000000</v>
      </c>
      <c r="J78" s="26">
        <f>Tabla2[[#This Row],[TOTAL (COP)]]/$M$1</f>
        <v>56818.181818181816</v>
      </c>
      <c r="K78" s="5"/>
      <c r="L78" s="5"/>
      <c r="M78" s="5"/>
    </row>
    <row r="79" spans="1:13" x14ac:dyDescent="0.25">
      <c r="A79" s="178" t="s">
        <v>193</v>
      </c>
      <c r="B79" s="30" t="s">
        <v>214</v>
      </c>
      <c r="C79" s="30" t="s">
        <v>221</v>
      </c>
      <c r="D79" s="185" t="s">
        <v>222</v>
      </c>
      <c r="E79" s="30" t="s">
        <v>55</v>
      </c>
      <c r="F79" s="30" t="s">
        <v>56</v>
      </c>
      <c r="G79" s="30">
        <v>1</v>
      </c>
      <c r="H79" s="26">
        <v>80000000</v>
      </c>
      <c r="I79" s="26">
        <f>Tabla2[[#This Row],[VU (COP)]]*Tabla2[[#This Row],[CANTIDAD]]</f>
        <v>80000000</v>
      </c>
      <c r="J79" s="26">
        <f>Tabla2[[#This Row],[TOTAL (COP)]]/$M$1</f>
        <v>18181.81818181818</v>
      </c>
      <c r="K79" s="5"/>
      <c r="L79" s="5"/>
      <c r="M79" s="5"/>
    </row>
    <row r="80" spans="1:13" x14ac:dyDescent="0.25">
      <c r="A80" s="178" t="s">
        <v>193</v>
      </c>
      <c r="B80" s="30" t="s">
        <v>214</v>
      </c>
      <c r="C80" s="30" t="s">
        <v>223</v>
      </c>
      <c r="D80" s="185" t="s">
        <v>224</v>
      </c>
      <c r="E80" s="30" t="s">
        <v>55</v>
      </c>
      <c r="F80" s="30" t="s">
        <v>56</v>
      </c>
      <c r="G80" s="30">
        <v>50</v>
      </c>
      <c r="H80" s="26">
        <v>8000000</v>
      </c>
      <c r="I80" s="26">
        <f>Tabla2[[#This Row],[VU (COP)]]*Tabla2[[#This Row],[CANTIDAD]]</f>
        <v>400000000</v>
      </c>
      <c r="J80" s="26">
        <f>Tabla2[[#This Row],[TOTAL (COP)]]/$M$1</f>
        <v>90909.090909090912</v>
      </c>
      <c r="K80" s="5"/>
      <c r="L80" s="5"/>
      <c r="M80" s="5"/>
    </row>
    <row r="81" spans="1:13" x14ac:dyDescent="0.25">
      <c r="A81" s="178" t="s">
        <v>193</v>
      </c>
      <c r="B81" s="30" t="s">
        <v>214</v>
      </c>
      <c r="C81" s="30" t="s">
        <v>225</v>
      </c>
      <c r="D81" s="185" t="s">
        <v>226</v>
      </c>
      <c r="E81" s="30" t="s">
        <v>55</v>
      </c>
      <c r="F81" s="30" t="s">
        <v>56</v>
      </c>
      <c r="G81" s="30">
        <v>20</v>
      </c>
      <c r="H81" s="26">
        <v>15000000</v>
      </c>
      <c r="I81" s="26">
        <f>Tabla2[[#This Row],[VU (COP)]]*Tabla2[[#This Row],[CANTIDAD]]</f>
        <v>300000000</v>
      </c>
      <c r="J81" s="26">
        <f>Tabla2[[#This Row],[TOTAL (COP)]]/$M$1</f>
        <v>68181.818181818177</v>
      </c>
      <c r="K81" s="5"/>
      <c r="L81" s="5"/>
      <c r="M81" s="5"/>
    </row>
    <row r="82" spans="1:13" x14ac:dyDescent="0.25">
      <c r="A82" s="178" t="s">
        <v>193</v>
      </c>
      <c r="B82" s="30" t="s">
        <v>214</v>
      </c>
      <c r="C82" s="30" t="s">
        <v>227</v>
      </c>
      <c r="D82" s="185" t="s">
        <v>212</v>
      </c>
      <c r="E82" s="30" t="s">
        <v>141</v>
      </c>
      <c r="F82" s="30" t="s">
        <v>56</v>
      </c>
      <c r="G82" s="30">
        <v>1</v>
      </c>
      <c r="H82" s="26">
        <v>100000000</v>
      </c>
      <c r="I82" s="26">
        <f>Tabla2[[#This Row],[VU (COP)]]*Tabla2[[#This Row],[CANTIDAD]]</f>
        <v>100000000</v>
      </c>
      <c r="J82" s="26">
        <f>Tabla2[[#This Row],[TOTAL (COP)]]/$M$1</f>
        <v>22727.272727272728</v>
      </c>
      <c r="K82" s="5"/>
      <c r="L82" s="5"/>
      <c r="M82" s="5"/>
    </row>
    <row r="83" spans="1:13" x14ac:dyDescent="0.25">
      <c r="A83" s="178" t="s">
        <v>193</v>
      </c>
      <c r="B83" s="30" t="s">
        <v>214</v>
      </c>
      <c r="C83" s="30" t="s">
        <v>228</v>
      </c>
      <c r="D83" s="185" t="s">
        <v>147</v>
      </c>
      <c r="E83" s="30" t="s">
        <v>55</v>
      </c>
      <c r="F83" s="30" t="s">
        <v>56</v>
      </c>
      <c r="G83" s="30">
        <v>1</v>
      </c>
      <c r="H83" s="26">
        <v>145500000</v>
      </c>
      <c r="I83" s="26">
        <f>Tabla2[[#This Row],[VU (COP)]]*Tabla2[[#This Row],[CANTIDAD]]</f>
        <v>145500000</v>
      </c>
      <c r="J83" s="26">
        <f>Tabla2[[#This Row],[TOTAL (COP)]]/$M$1</f>
        <v>33068.181818181816</v>
      </c>
      <c r="K83" s="5"/>
      <c r="L83" s="5"/>
      <c r="M83" s="5"/>
    </row>
    <row r="84" spans="1:13" x14ac:dyDescent="0.25">
      <c r="A84" s="178" t="s">
        <v>193</v>
      </c>
      <c r="B84" s="30" t="s">
        <v>229</v>
      </c>
      <c r="C84" s="30" t="s">
        <v>230</v>
      </c>
      <c r="D84" s="185" t="s">
        <v>231</v>
      </c>
      <c r="E84" s="30" t="s">
        <v>55</v>
      </c>
      <c r="F84" s="30" t="s">
        <v>56</v>
      </c>
      <c r="G84" s="30">
        <v>200</v>
      </c>
      <c r="H84" s="26">
        <v>150000</v>
      </c>
      <c r="I84" s="26">
        <f>Tabla2[[#This Row],[VU (COP)]]*Tabla2[[#This Row],[CANTIDAD]]</f>
        <v>30000000</v>
      </c>
      <c r="J84" s="26">
        <f>Tabla2[[#This Row],[TOTAL (COP)]]/$M$1</f>
        <v>6818.181818181818</v>
      </c>
      <c r="K84" s="5"/>
      <c r="L84" s="5"/>
      <c r="M84" s="5"/>
    </row>
    <row r="85" spans="1:13" x14ac:dyDescent="0.25">
      <c r="A85" s="178" t="s">
        <v>193</v>
      </c>
      <c r="B85" s="30" t="s">
        <v>229</v>
      </c>
      <c r="C85" s="30" t="s">
        <v>232</v>
      </c>
      <c r="D85" s="185" t="s">
        <v>233</v>
      </c>
      <c r="E85" s="30" t="s">
        <v>55</v>
      </c>
      <c r="F85" s="30" t="s">
        <v>56</v>
      </c>
      <c r="G85" s="30">
        <v>150</v>
      </c>
      <c r="H85" s="26">
        <v>200000</v>
      </c>
      <c r="I85" s="26">
        <f>Tabla2[[#This Row],[VU (COP)]]*Tabla2[[#This Row],[CANTIDAD]]</f>
        <v>30000000</v>
      </c>
      <c r="J85" s="26">
        <f>Tabla2[[#This Row],[TOTAL (COP)]]/$M$1</f>
        <v>6818.181818181818</v>
      </c>
      <c r="K85" s="5"/>
      <c r="L85" s="5"/>
      <c r="M85" s="5"/>
    </row>
    <row r="86" spans="1:13" x14ac:dyDescent="0.25">
      <c r="A86" s="178" t="s">
        <v>193</v>
      </c>
      <c r="B86" s="30" t="s">
        <v>229</v>
      </c>
      <c r="C86" s="30" t="s">
        <v>234</v>
      </c>
      <c r="D86" s="185" t="s">
        <v>235</v>
      </c>
      <c r="E86" s="30" t="s">
        <v>55</v>
      </c>
      <c r="F86" s="30" t="s">
        <v>56</v>
      </c>
      <c r="G86" s="30">
        <v>50</v>
      </c>
      <c r="H86" s="26">
        <v>800000</v>
      </c>
      <c r="I86" s="26">
        <f>Tabla2[[#This Row],[VU (COP)]]*Tabla2[[#This Row],[CANTIDAD]]</f>
        <v>40000000</v>
      </c>
      <c r="J86" s="26">
        <f>Tabla2[[#This Row],[TOTAL (COP)]]/$M$1</f>
        <v>9090.9090909090901</v>
      </c>
      <c r="K86" s="5"/>
      <c r="L86" s="5"/>
      <c r="M86" s="5"/>
    </row>
    <row r="87" spans="1:13" x14ac:dyDescent="0.25">
      <c r="A87" s="178" t="s">
        <v>193</v>
      </c>
      <c r="B87" s="30" t="s">
        <v>229</v>
      </c>
      <c r="C87" s="30" t="s">
        <v>236</v>
      </c>
      <c r="D87" s="185" t="s">
        <v>237</v>
      </c>
      <c r="E87" s="30" t="s">
        <v>55</v>
      </c>
      <c r="F87" s="30" t="s">
        <v>56</v>
      </c>
      <c r="G87" s="30">
        <v>100</v>
      </c>
      <c r="H87" s="26">
        <v>500000</v>
      </c>
      <c r="I87" s="26">
        <f>Tabla2[[#This Row],[VU (COP)]]*Tabla2[[#This Row],[CANTIDAD]]</f>
        <v>50000000</v>
      </c>
      <c r="J87" s="26">
        <f>Tabla2[[#This Row],[TOTAL (COP)]]/$M$1</f>
        <v>11363.636363636364</v>
      </c>
      <c r="K87" s="5"/>
      <c r="L87" s="5"/>
      <c r="M87" s="5"/>
    </row>
    <row r="88" spans="1:13" x14ac:dyDescent="0.25">
      <c r="A88" s="178" t="s">
        <v>193</v>
      </c>
      <c r="B88" s="30" t="s">
        <v>229</v>
      </c>
      <c r="C88" s="30" t="s">
        <v>238</v>
      </c>
      <c r="D88" s="185" t="s">
        <v>239</v>
      </c>
      <c r="E88" s="30" t="s">
        <v>55</v>
      </c>
      <c r="F88" s="30" t="s">
        <v>56</v>
      </c>
      <c r="G88" s="30">
        <v>1</v>
      </c>
      <c r="H88" s="26">
        <v>120000000</v>
      </c>
      <c r="I88" s="26">
        <f>Tabla2[[#This Row],[VU (COP)]]*Tabla2[[#This Row],[CANTIDAD]]</f>
        <v>120000000</v>
      </c>
      <c r="J88" s="26">
        <f>Tabla2[[#This Row],[TOTAL (COP)]]/$M$1</f>
        <v>27272.727272727272</v>
      </c>
      <c r="K88" s="5"/>
      <c r="L88" s="5"/>
      <c r="M88" s="5"/>
    </row>
    <row r="89" spans="1:13" x14ac:dyDescent="0.25">
      <c r="A89" s="178" t="s">
        <v>193</v>
      </c>
      <c r="B89" s="30" t="s">
        <v>229</v>
      </c>
      <c r="C89" s="30" t="s">
        <v>240</v>
      </c>
      <c r="D89" s="185" t="s">
        <v>241</v>
      </c>
      <c r="E89" s="30" t="s">
        <v>55</v>
      </c>
      <c r="F89" s="30" t="s">
        <v>56</v>
      </c>
      <c r="G89" s="30">
        <v>30</v>
      </c>
      <c r="H89" s="26">
        <v>500000</v>
      </c>
      <c r="I89" s="26">
        <f>Tabla2[[#This Row],[VU (COP)]]*Tabla2[[#This Row],[CANTIDAD]]</f>
        <v>15000000</v>
      </c>
      <c r="J89" s="26">
        <f>Tabla2[[#This Row],[TOTAL (COP)]]/$M$1</f>
        <v>3409.090909090909</v>
      </c>
      <c r="K89" s="5"/>
      <c r="L89" s="5"/>
      <c r="M89" s="5"/>
    </row>
    <row r="90" spans="1:13" x14ac:dyDescent="0.25">
      <c r="A90" s="178" t="s">
        <v>193</v>
      </c>
      <c r="B90" s="30" t="s">
        <v>229</v>
      </c>
      <c r="C90" s="30" t="s">
        <v>242</v>
      </c>
      <c r="D90" s="185" t="s">
        <v>243</v>
      </c>
      <c r="E90" s="30" t="s">
        <v>55</v>
      </c>
      <c r="F90" s="30" t="s">
        <v>56</v>
      </c>
      <c r="G90" s="30">
        <v>1</v>
      </c>
      <c r="H90" s="26">
        <v>80000000</v>
      </c>
      <c r="I90" s="26">
        <f>Tabla2[[#This Row],[VU (COP)]]*Tabla2[[#This Row],[CANTIDAD]]</f>
        <v>80000000</v>
      </c>
      <c r="J90" s="26">
        <f>Tabla2[[#This Row],[TOTAL (COP)]]/$M$1</f>
        <v>18181.81818181818</v>
      </c>
      <c r="K90" s="5"/>
      <c r="L90" s="5"/>
      <c r="M90" s="5"/>
    </row>
    <row r="91" spans="1:13" x14ac:dyDescent="0.25">
      <c r="A91" s="178" t="s">
        <v>193</v>
      </c>
      <c r="B91" s="30" t="s">
        <v>229</v>
      </c>
      <c r="C91" s="30" t="s">
        <v>244</v>
      </c>
      <c r="D91" s="185" t="s">
        <v>147</v>
      </c>
      <c r="E91" s="30" t="s">
        <v>55</v>
      </c>
      <c r="F91" s="30" t="s">
        <v>56</v>
      </c>
      <c r="G91" s="30">
        <v>1</v>
      </c>
      <c r="H91" s="26">
        <v>36500000</v>
      </c>
      <c r="I91" s="26">
        <f>Tabla2[[#This Row],[VU (COP)]]*Tabla2[[#This Row],[CANTIDAD]]</f>
        <v>36500000</v>
      </c>
      <c r="J91" s="26">
        <f>Tabla2[[#This Row],[TOTAL (COP)]]/$M$1</f>
        <v>8295.454545454546</v>
      </c>
      <c r="K91" s="5"/>
      <c r="L91" s="5"/>
      <c r="M91" s="5"/>
    </row>
    <row r="92" spans="1:13" ht="26.25" x14ac:dyDescent="0.25">
      <c r="A92" s="178" t="s">
        <v>245</v>
      </c>
      <c r="B92" s="30" t="s">
        <v>246</v>
      </c>
      <c r="C92" s="30" t="s">
        <v>247</v>
      </c>
      <c r="D92" s="185" t="s">
        <v>248</v>
      </c>
      <c r="E92" s="30" t="s">
        <v>55</v>
      </c>
      <c r="F92" s="30" t="s">
        <v>56</v>
      </c>
      <c r="G92" s="30">
        <v>9</v>
      </c>
      <c r="H92" s="26">
        <v>180000000</v>
      </c>
      <c r="I92" s="26">
        <f>Tabla2[[#This Row],[VU (COP)]]*Tabla2[[#This Row],[CANTIDAD]]</f>
        <v>1620000000</v>
      </c>
      <c r="J92" s="26">
        <f>Tabla2[[#This Row],[TOTAL (COP)]]/$M$1</f>
        <v>368181.81818181818</v>
      </c>
      <c r="K92" s="5"/>
      <c r="L92" s="5"/>
      <c r="M92" s="5"/>
    </row>
    <row r="93" spans="1:13" x14ac:dyDescent="0.25">
      <c r="A93" s="178" t="s">
        <v>245</v>
      </c>
      <c r="B93" s="30" t="s">
        <v>246</v>
      </c>
      <c r="C93" s="30" t="s">
        <v>249</v>
      </c>
      <c r="D93" s="185" t="s">
        <v>250</v>
      </c>
      <c r="E93" s="30" t="s">
        <v>55</v>
      </c>
      <c r="F93" s="30" t="s">
        <v>56</v>
      </c>
      <c r="G93" s="30">
        <v>9</v>
      </c>
      <c r="H93" s="26">
        <v>80000000</v>
      </c>
      <c r="I93" s="26">
        <f>Tabla2[[#This Row],[VU (COP)]]*Tabla2[[#This Row],[CANTIDAD]]</f>
        <v>720000000</v>
      </c>
      <c r="J93" s="26">
        <f>Tabla2[[#This Row],[TOTAL (COP)]]/$M$1</f>
        <v>163636.36363636365</v>
      </c>
      <c r="K93" s="5"/>
      <c r="L93" s="5"/>
      <c r="M93" s="5"/>
    </row>
    <row r="94" spans="1:13" ht="26.25" x14ac:dyDescent="0.25">
      <c r="A94" s="178" t="s">
        <v>245</v>
      </c>
      <c r="B94" s="30" t="s">
        <v>246</v>
      </c>
      <c r="C94" s="30" t="s">
        <v>251</v>
      </c>
      <c r="D94" s="185" t="s">
        <v>252</v>
      </c>
      <c r="E94" s="30" t="s">
        <v>55</v>
      </c>
      <c r="F94" s="30" t="s">
        <v>56</v>
      </c>
      <c r="G94" s="30">
        <v>9</v>
      </c>
      <c r="H94" s="26">
        <v>360000000</v>
      </c>
      <c r="I94" s="26">
        <f>Tabla2[[#This Row],[VU (COP)]]*Tabla2[[#This Row],[CANTIDAD]]</f>
        <v>3240000000</v>
      </c>
      <c r="J94" s="26">
        <f>Tabla2[[#This Row],[TOTAL (COP)]]/$M$1</f>
        <v>736363.63636363635</v>
      </c>
      <c r="K94" s="5"/>
      <c r="L94" s="5"/>
      <c r="M94" s="5"/>
    </row>
    <row r="95" spans="1:13" x14ac:dyDescent="0.25">
      <c r="A95" s="178" t="s">
        <v>245</v>
      </c>
      <c r="B95" s="30" t="s">
        <v>246</v>
      </c>
      <c r="C95" s="30" t="s">
        <v>253</v>
      </c>
      <c r="D95" s="185" t="s">
        <v>254</v>
      </c>
      <c r="E95" s="30" t="s">
        <v>55</v>
      </c>
      <c r="F95" s="30" t="s">
        <v>56</v>
      </c>
      <c r="G95" s="30">
        <v>9</v>
      </c>
      <c r="H95" s="26">
        <v>60000000</v>
      </c>
      <c r="I95" s="26">
        <f>Tabla2[[#This Row],[VU (COP)]]*Tabla2[[#This Row],[CANTIDAD]]</f>
        <v>540000000</v>
      </c>
      <c r="J95" s="26">
        <f>Tabla2[[#This Row],[TOTAL (COP)]]/$M$1</f>
        <v>122727.27272727272</v>
      </c>
      <c r="K95" s="5"/>
      <c r="L95" s="5"/>
      <c r="M95" s="5"/>
    </row>
    <row r="96" spans="1:13" ht="26.25" x14ac:dyDescent="0.25">
      <c r="A96" s="178" t="s">
        <v>245</v>
      </c>
      <c r="B96" s="30" t="s">
        <v>246</v>
      </c>
      <c r="C96" s="30" t="s">
        <v>255</v>
      </c>
      <c r="D96" s="185" t="s">
        <v>256</v>
      </c>
      <c r="E96" s="30" t="s">
        <v>55</v>
      </c>
      <c r="F96" s="30" t="s">
        <v>56</v>
      </c>
      <c r="G96" s="30">
        <v>9</v>
      </c>
      <c r="H96" s="26">
        <v>40000000</v>
      </c>
      <c r="I96" s="26">
        <f>Tabla2[[#This Row],[VU (COP)]]*Tabla2[[#This Row],[CANTIDAD]]</f>
        <v>360000000</v>
      </c>
      <c r="J96" s="26">
        <f>Tabla2[[#This Row],[TOTAL (COP)]]/$M$1</f>
        <v>81818.181818181823</v>
      </c>
      <c r="K96" s="5"/>
      <c r="L96" s="5"/>
      <c r="M96" s="5"/>
    </row>
    <row r="97" spans="1:13" x14ac:dyDescent="0.25">
      <c r="A97" s="178" t="s">
        <v>245</v>
      </c>
      <c r="B97" s="30" t="s">
        <v>246</v>
      </c>
      <c r="C97" s="30" t="s">
        <v>257</v>
      </c>
      <c r="D97" s="185" t="s">
        <v>212</v>
      </c>
      <c r="E97" s="30" t="s">
        <v>141</v>
      </c>
      <c r="F97" s="30" t="s">
        <v>56</v>
      </c>
      <c r="G97" s="30">
        <v>9</v>
      </c>
      <c r="H97" s="26">
        <v>200000000</v>
      </c>
      <c r="I97" s="26">
        <f>Tabla2[[#This Row],[VU (COP)]]*Tabla2[[#This Row],[CANTIDAD]]</f>
        <v>1800000000</v>
      </c>
      <c r="J97" s="26">
        <f>Tabla2[[#This Row],[TOTAL (COP)]]/$M$1</f>
        <v>409090.90909090912</v>
      </c>
      <c r="K97" s="5"/>
      <c r="L97" s="5"/>
      <c r="M97" s="5"/>
    </row>
    <row r="98" spans="1:13" x14ac:dyDescent="0.25">
      <c r="A98" s="178" t="s">
        <v>245</v>
      </c>
      <c r="B98" s="30" t="s">
        <v>246</v>
      </c>
      <c r="C98" s="30" t="s">
        <v>258</v>
      </c>
      <c r="D98" s="185" t="s">
        <v>147</v>
      </c>
      <c r="E98" s="30" t="s">
        <v>55</v>
      </c>
      <c r="F98" s="30" t="s">
        <v>56</v>
      </c>
      <c r="G98" s="30">
        <v>1</v>
      </c>
      <c r="H98" s="26">
        <v>828000000</v>
      </c>
      <c r="I98" s="26">
        <f>Tabla2[[#This Row],[VU (COP)]]*Tabla2[[#This Row],[CANTIDAD]]</f>
        <v>828000000</v>
      </c>
      <c r="J98" s="26">
        <f>Tabla2[[#This Row],[TOTAL (COP)]]/$M$1</f>
        <v>188181.81818181818</v>
      </c>
      <c r="K98" s="5"/>
      <c r="L98" s="5"/>
      <c r="M98" s="5"/>
    </row>
    <row r="99" spans="1:13" ht="39" x14ac:dyDescent="0.25">
      <c r="A99" s="178" t="s">
        <v>245</v>
      </c>
      <c r="B99" s="30" t="s">
        <v>259</v>
      </c>
      <c r="C99" s="30" t="s">
        <v>260</v>
      </c>
      <c r="D99" s="185" t="s">
        <v>261</v>
      </c>
      <c r="E99" s="30" t="s">
        <v>55</v>
      </c>
      <c r="F99" s="30" t="s">
        <v>56</v>
      </c>
      <c r="G99" s="30">
        <v>15</v>
      </c>
      <c r="H99" s="26">
        <v>120000000</v>
      </c>
      <c r="I99" s="26">
        <f>Tabla2[[#This Row],[VU (COP)]]*Tabla2[[#This Row],[CANTIDAD]]</f>
        <v>1800000000</v>
      </c>
      <c r="J99" s="26">
        <f>Tabla2[[#This Row],[TOTAL (COP)]]/$M$1</f>
        <v>409090.90909090912</v>
      </c>
      <c r="K99" s="5"/>
      <c r="L99" s="5"/>
      <c r="M99" s="5"/>
    </row>
    <row r="100" spans="1:13" ht="26.25" x14ac:dyDescent="0.25">
      <c r="A100" s="178" t="s">
        <v>245</v>
      </c>
      <c r="B100" s="30" t="s">
        <v>259</v>
      </c>
      <c r="C100" s="30" t="s">
        <v>262</v>
      </c>
      <c r="D100" s="185" t="s">
        <v>263</v>
      </c>
      <c r="E100" s="30" t="s">
        <v>55</v>
      </c>
      <c r="F100" s="30" t="s">
        <v>56</v>
      </c>
      <c r="G100" s="30">
        <v>15</v>
      </c>
      <c r="H100" s="26">
        <v>50000000</v>
      </c>
      <c r="I100" s="26">
        <f>Tabla2[[#This Row],[VU (COP)]]*Tabla2[[#This Row],[CANTIDAD]]</f>
        <v>750000000</v>
      </c>
      <c r="J100" s="26">
        <f>Tabla2[[#This Row],[TOTAL (COP)]]/$M$1</f>
        <v>170454.54545454544</v>
      </c>
      <c r="K100" s="5"/>
      <c r="L100" s="5"/>
      <c r="M100" s="5"/>
    </row>
    <row r="101" spans="1:13" x14ac:dyDescent="0.25">
      <c r="A101" s="178" t="s">
        <v>245</v>
      </c>
      <c r="B101" s="30" t="s">
        <v>259</v>
      </c>
      <c r="C101" s="30" t="s">
        <v>264</v>
      </c>
      <c r="D101" s="185" t="s">
        <v>265</v>
      </c>
      <c r="E101" s="30" t="s">
        <v>55</v>
      </c>
      <c r="F101" s="30" t="s">
        <v>56</v>
      </c>
      <c r="G101" s="30">
        <v>15</v>
      </c>
      <c r="H101" s="26">
        <v>80000000</v>
      </c>
      <c r="I101" s="26">
        <f>Tabla2[[#This Row],[VU (COP)]]*Tabla2[[#This Row],[CANTIDAD]]</f>
        <v>1200000000</v>
      </c>
      <c r="J101" s="26">
        <f>Tabla2[[#This Row],[TOTAL (COP)]]/$M$1</f>
        <v>272727.27272727271</v>
      </c>
      <c r="K101" s="5"/>
      <c r="L101" s="5"/>
      <c r="M101" s="5"/>
    </row>
    <row r="102" spans="1:13" x14ac:dyDescent="0.25">
      <c r="A102" s="178" t="s">
        <v>245</v>
      </c>
      <c r="B102" s="30" t="s">
        <v>259</v>
      </c>
      <c r="C102" s="30" t="s">
        <v>266</v>
      </c>
      <c r="D102" s="185" t="s">
        <v>254</v>
      </c>
      <c r="E102" s="30" t="s">
        <v>55</v>
      </c>
      <c r="F102" s="30" t="s">
        <v>56</v>
      </c>
      <c r="G102" s="30">
        <v>15</v>
      </c>
      <c r="H102" s="26">
        <v>40000000</v>
      </c>
      <c r="I102" s="26">
        <f>Tabla2[[#This Row],[VU (COP)]]*Tabla2[[#This Row],[CANTIDAD]]</f>
        <v>600000000</v>
      </c>
      <c r="J102" s="26">
        <f>Tabla2[[#This Row],[TOTAL (COP)]]/$M$1</f>
        <v>136363.63636363635</v>
      </c>
      <c r="K102" s="5"/>
      <c r="L102" s="5"/>
      <c r="M102" s="5"/>
    </row>
    <row r="103" spans="1:13" x14ac:dyDescent="0.25">
      <c r="A103" s="178" t="s">
        <v>245</v>
      </c>
      <c r="B103" s="30" t="s">
        <v>259</v>
      </c>
      <c r="C103" s="30" t="s">
        <v>267</v>
      </c>
      <c r="D103" s="185" t="s">
        <v>243</v>
      </c>
      <c r="E103" s="30" t="s">
        <v>55</v>
      </c>
      <c r="F103" s="30" t="s">
        <v>56</v>
      </c>
      <c r="G103" s="30">
        <v>15</v>
      </c>
      <c r="H103" s="26">
        <v>60000000</v>
      </c>
      <c r="I103" s="26">
        <f>Tabla2[[#This Row],[VU (COP)]]*Tabla2[[#This Row],[CANTIDAD]]</f>
        <v>900000000</v>
      </c>
      <c r="J103" s="26">
        <f>Tabla2[[#This Row],[TOTAL (COP)]]/$M$1</f>
        <v>204545.45454545456</v>
      </c>
      <c r="K103" s="5"/>
      <c r="L103" s="5"/>
      <c r="M103" s="5"/>
    </row>
    <row r="104" spans="1:13" x14ac:dyDescent="0.25">
      <c r="A104" s="178" t="s">
        <v>245</v>
      </c>
      <c r="B104" s="30" t="s">
        <v>259</v>
      </c>
      <c r="C104" s="30" t="s">
        <v>268</v>
      </c>
      <c r="D104" s="185" t="s">
        <v>147</v>
      </c>
      <c r="E104" s="30" t="s">
        <v>55</v>
      </c>
      <c r="F104" s="30" t="s">
        <v>56</v>
      </c>
      <c r="G104" s="30">
        <v>1</v>
      </c>
      <c r="H104" s="26">
        <v>525000000</v>
      </c>
      <c r="I104" s="26">
        <f>Tabla2[[#This Row],[VU (COP)]]*Tabla2[[#This Row],[CANTIDAD]]</f>
        <v>525000000</v>
      </c>
      <c r="J104" s="26">
        <f>Tabla2[[#This Row],[TOTAL (COP)]]/$M$1</f>
        <v>119318.18181818182</v>
      </c>
      <c r="K104" s="5"/>
      <c r="L104" s="5"/>
      <c r="M104" s="5"/>
    </row>
    <row r="105" spans="1:13" ht="26.25" x14ac:dyDescent="0.25">
      <c r="A105" s="178" t="s">
        <v>245</v>
      </c>
      <c r="B105" s="30" t="s">
        <v>269</v>
      </c>
      <c r="C105" s="30" t="s">
        <v>270</v>
      </c>
      <c r="D105" s="185" t="s">
        <v>271</v>
      </c>
      <c r="E105" s="30" t="s">
        <v>55</v>
      </c>
      <c r="F105" s="30" t="s">
        <v>56</v>
      </c>
      <c r="G105" s="30">
        <v>122</v>
      </c>
      <c r="H105" s="26">
        <v>25000000</v>
      </c>
      <c r="I105" s="26">
        <f>Tabla2[[#This Row],[VU (COP)]]*Tabla2[[#This Row],[CANTIDAD]]</f>
        <v>3050000000</v>
      </c>
      <c r="J105" s="26">
        <f>Tabla2[[#This Row],[TOTAL (COP)]]/$M$1</f>
        <v>693181.81818181823</v>
      </c>
      <c r="K105" s="5"/>
      <c r="L105" s="5"/>
      <c r="M105" s="5"/>
    </row>
    <row r="106" spans="1:13" x14ac:dyDescent="0.25">
      <c r="A106" s="178" t="s">
        <v>245</v>
      </c>
      <c r="B106" s="30" t="s">
        <v>269</v>
      </c>
      <c r="C106" s="30" t="s">
        <v>272</v>
      </c>
      <c r="D106" s="185" t="s">
        <v>147</v>
      </c>
      <c r="E106" s="30" t="s">
        <v>55</v>
      </c>
      <c r="F106" s="30" t="s">
        <v>56</v>
      </c>
      <c r="G106" s="30">
        <v>1</v>
      </c>
      <c r="H106" s="26">
        <v>305000000</v>
      </c>
      <c r="I106" s="26">
        <f>Tabla2[[#This Row],[VU (COP)]]*Tabla2[[#This Row],[CANTIDAD]]</f>
        <v>305000000</v>
      </c>
      <c r="J106" s="26">
        <f>Tabla2[[#This Row],[TOTAL (COP)]]/$M$1</f>
        <v>69318.181818181823</v>
      </c>
      <c r="K106" s="5"/>
      <c r="L106" s="5"/>
      <c r="M106" s="5"/>
    </row>
    <row r="107" spans="1:13" x14ac:dyDescent="0.25">
      <c r="A107" s="178" t="s">
        <v>273</v>
      </c>
      <c r="B107" s="30" t="s">
        <v>274</v>
      </c>
      <c r="C107" s="30" t="s">
        <v>275</v>
      </c>
      <c r="D107" s="185" t="s">
        <v>276</v>
      </c>
      <c r="E107" s="30" t="s">
        <v>55</v>
      </c>
      <c r="F107" s="30" t="s">
        <v>56</v>
      </c>
      <c r="G107" s="30">
        <v>1</v>
      </c>
      <c r="H107" s="26">
        <v>2500000000</v>
      </c>
      <c r="I107" s="26">
        <f>Tabla2[[#This Row],[VU (COP)]]*Tabla2[[#This Row],[CANTIDAD]]</f>
        <v>2500000000</v>
      </c>
      <c r="J107" s="26">
        <f>Tabla2[[#This Row],[TOTAL (COP)]]/$M$1</f>
        <v>568181.81818181823</v>
      </c>
      <c r="K107" s="5"/>
      <c r="L107" s="5"/>
      <c r="M107" s="5"/>
    </row>
    <row r="108" spans="1:13" x14ac:dyDescent="0.25">
      <c r="A108" s="178" t="s">
        <v>273</v>
      </c>
      <c r="B108" s="30" t="s">
        <v>274</v>
      </c>
      <c r="C108" s="30" t="s">
        <v>277</v>
      </c>
      <c r="D108" s="185" t="s">
        <v>278</v>
      </c>
      <c r="E108" s="30" t="s">
        <v>55</v>
      </c>
      <c r="F108" s="30" t="s">
        <v>56</v>
      </c>
      <c r="G108" s="30">
        <v>1</v>
      </c>
      <c r="H108" s="26">
        <v>800000000</v>
      </c>
      <c r="I108" s="26">
        <f>Tabla2[[#This Row],[VU (COP)]]*Tabla2[[#This Row],[CANTIDAD]]</f>
        <v>800000000</v>
      </c>
      <c r="J108" s="26">
        <f>Tabla2[[#This Row],[TOTAL (COP)]]/$M$1</f>
        <v>181818.18181818182</v>
      </c>
      <c r="K108" s="5"/>
      <c r="L108" s="5"/>
      <c r="M108" s="5"/>
    </row>
    <row r="109" spans="1:13" x14ac:dyDescent="0.25">
      <c r="A109" s="178" t="s">
        <v>273</v>
      </c>
      <c r="B109" s="30" t="s">
        <v>274</v>
      </c>
      <c r="C109" s="30" t="s">
        <v>279</v>
      </c>
      <c r="D109" s="185" t="s">
        <v>280</v>
      </c>
      <c r="E109" s="30" t="s">
        <v>55</v>
      </c>
      <c r="F109" s="30" t="s">
        <v>56</v>
      </c>
      <c r="G109" s="30">
        <v>1</v>
      </c>
      <c r="H109" s="26">
        <v>300000000</v>
      </c>
      <c r="I109" s="26">
        <f>Tabla2[[#This Row],[VU (COP)]]*Tabla2[[#This Row],[CANTIDAD]]</f>
        <v>300000000</v>
      </c>
      <c r="J109" s="26">
        <f>Tabla2[[#This Row],[TOTAL (COP)]]/$M$1</f>
        <v>68181.818181818177</v>
      </c>
      <c r="K109" s="5"/>
      <c r="L109" s="5"/>
      <c r="M109" s="5"/>
    </row>
    <row r="110" spans="1:13" x14ac:dyDescent="0.25">
      <c r="A110" s="178" t="s">
        <v>273</v>
      </c>
      <c r="B110" s="30" t="s">
        <v>274</v>
      </c>
      <c r="C110" s="30" t="s">
        <v>281</v>
      </c>
      <c r="D110" s="185" t="s">
        <v>282</v>
      </c>
      <c r="E110" s="30" t="s">
        <v>55</v>
      </c>
      <c r="F110" s="30" t="s">
        <v>56</v>
      </c>
      <c r="G110" s="30">
        <v>1</v>
      </c>
      <c r="H110" s="26">
        <v>400000000</v>
      </c>
      <c r="I110" s="26">
        <f>Tabla2[[#This Row],[VU (COP)]]*Tabla2[[#This Row],[CANTIDAD]]</f>
        <v>400000000</v>
      </c>
      <c r="J110" s="26">
        <f>Tabla2[[#This Row],[TOTAL (COP)]]/$M$1</f>
        <v>90909.090909090912</v>
      </c>
      <c r="K110" s="5"/>
      <c r="L110" s="5"/>
      <c r="M110" s="5"/>
    </row>
    <row r="111" spans="1:13" x14ac:dyDescent="0.25">
      <c r="A111" s="178" t="s">
        <v>273</v>
      </c>
      <c r="B111" s="30" t="s">
        <v>274</v>
      </c>
      <c r="C111" s="30" t="s">
        <v>283</v>
      </c>
      <c r="D111" s="185" t="s">
        <v>284</v>
      </c>
      <c r="E111" s="30" t="s">
        <v>55</v>
      </c>
      <c r="F111" s="30" t="s">
        <v>56</v>
      </c>
      <c r="G111" s="30">
        <v>1</v>
      </c>
      <c r="H111" s="26">
        <v>200000000</v>
      </c>
      <c r="I111" s="26">
        <f>Tabla2[[#This Row],[VU (COP)]]*Tabla2[[#This Row],[CANTIDAD]]</f>
        <v>200000000</v>
      </c>
      <c r="J111" s="26">
        <f>Tabla2[[#This Row],[TOTAL (COP)]]/$M$1</f>
        <v>45454.545454545456</v>
      </c>
      <c r="K111" s="5"/>
      <c r="L111" s="5"/>
      <c r="M111" s="5"/>
    </row>
    <row r="112" spans="1:13" x14ac:dyDescent="0.25">
      <c r="A112" s="178" t="s">
        <v>273</v>
      </c>
      <c r="B112" s="30" t="s">
        <v>274</v>
      </c>
      <c r="C112" s="30" t="s">
        <v>285</v>
      </c>
      <c r="D112" s="185" t="s">
        <v>286</v>
      </c>
      <c r="E112" s="30" t="s">
        <v>55</v>
      </c>
      <c r="F112" s="30" t="s">
        <v>56</v>
      </c>
      <c r="G112" s="30">
        <v>1</v>
      </c>
      <c r="H112" s="26">
        <v>150000000</v>
      </c>
      <c r="I112" s="26">
        <f>Tabla2[[#This Row],[VU (COP)]]*Tabla2[[#This Row],[CANTIDAD]]</f>
        <v>150000000</v>
      </c>
      <c r="J112" s="26">
        <f>Tabla2[[#This Row],[TOTAL (COP)]]/$M$1</f>
        <v>34090.909090909088</v>
      </c>
      <c r="K112" s="5"/>
      <c r="L112" s="5"/>
      <c r="M112" s="5"/>
    </row>
    <row r="113" spans="1:13" x14ac:dyDescent="0.25">
      <c r="A113" s="178" t="s">
        <v>273</v>
      </c>
      <c r="B113" s="30" t="s">
        <v>287</v>
      </c>
      <c r="C113" s="30" t="s">
        <v>288</v>
      </c>
      <c r="D113" s="185" t="s">
        <v>289</v>
      </c>
      <c r="E113" s="30" t="s">
        <v>55</v>
      </c>
      <c r="F113" s="30" t="s">
        <v>56</v>
      </c>
      <c r="G113" s="30">
        <v>8</v>
      </c>
      <c r="H113" s="26">
        <v>120000000</v>
      </c>
      <c r="I113" s="26">
        <f>Tabla2[[#This Row],[VU (COP)]]*Tabla2[[#This Row],[CANTIDAD]]</f>
        <v>960000000</v>
      </c>
      <c r="J113" s="26">
        <f>Tabla2[[#This Row],[TOTAL (COP)]]/$M$1</f>
        <v>218181.81818181818</v>
      </c>
      <c r="K113" s="5"/>
      <c r="L113" s="5"/>
      <c r="M113" s="5"/>
    </row>
    <row r="114" spans="1:13" x14ac:dyDescent="0.25">
      <c r="A114" s="178" t="s">
        <v>273</v>
      </c>
      <c r="B114" s="30" t="s">
        <v>287</v>
      </c>
      <c r="C114" s="30" t="s">
        <v>290</v>
      </c>
      <c r="D114" s="185" t="s">
        <v>291</v>
      </c>
      <c r="E114" s="30" t="s">
        <v>55</v>
      </c>
      <c r="F114" s="30" t="s">
        <v>56</v>
      </c>
      <c r="G114" s="30">
        <v>16</v>
      </c>
      <c r="H114" s="26">
        <v>25000000</v>
      </c>
      <c r="I114" s="26">
        <f>Tabla2[[#This Row],[VU (COP)]]*Tabla2[[#This Row],[CANTIDAD]]</f>
        <v>400000000</v>
      </c>
      <c r="J114" s="26">
        <f>Tabla2[[#This Row],[TOTAL (COP)]]/$M$1</f>
        <v>90909.090909090912</v>
      </c>
      <c r="K114" s="5"/>
      <c r="L114" s="5"/>
      <c r="M114" s="5"/>
    </row>
    <row r="115" spans="1:13" x14ac:dyDescent="0.25">
      <c r="A115" s="178" t="s">
        <v>273</v>
      </c>
      <c r="B115" s="30" t="s">
        <v>287</v>
      </c>
      <c r="C115" s="30" t="s">
        <v>292</v>
      </c>
      <c r="D115" s="185" t="s">
        <v>293</v>
      </c>
      <c r="E115" s="30" t="s">
        <v>55</v>
      </c>
      <c r="F115" s="30" t="s">
        <v>56</v>
      </c>
      <c r="G115" s="30">
        <v>1</v>
      </c>
      <c r="H115" s="26">
        <v>80000000</v>
      </c>
      <c r="I115" s="26">
        <f>Tabla2[[#This Row],[VU (COP)]]*Tabla2[[#This Row],[CANTIDAD]]</f>
        <v>80000000</v>
      </c>
      <c r="J115" s="26">
        <f>Tabla2[[#This Row],[TOTAL (COP)]]/$M$1</f>
        <v>18181.81818181818</v>
      </c>
      <c r="K115" s="5"/>
      <c r="L115" s="5"/>
      <c r="M115" s="5"/>
    </row>
    <row r="116" spans="1:13" x14ac:dyDescent="0.25">
      <c r="A116" s="178" t="s">
        <v>273</v>
      </c>
      <c r="B116" s="30" t="s">
        <v>287</v>
      </c>
      <c r="C116" s="30" t="s">
        <v>294</v>
      </c>
      <c r="D116" s="185" t="s">
        <v>295</v>
      </c>
      <c r="E116" s="30" t="s">
        <v>55</v>
      </c>
      <c r="F116" s="30" t="s">
        <v>56</v>
      </c>
      <c r="G116" s="30">
        <v>1</v>
      </c>
      <c r="H116" s="26">
        <v>60000000</v>
      </c>
      <c r="I116" s="26">
        <f>Tabla2[[#This Row],[VU (COP)]]*Tabla2[[#This Row],[CANTIDAD]]</f>
        <v>60000000</v>
      </c>
      <c r="J116" s="26">
        <f>Tabla2[[#This Row],[TOTAL (COP)]]/$M$1</f>
        <v>13636.363636363636</v>
      </c>
      <c r="K116" s="5"/>
      <c r="L116" s="5"/>
      <c r="M116" s="5"/>
    </row>
    <row r="117" spans="1:13" x14ac:dyDescent="0.25">
      <c r="A117" s="178" t="s">
        <v>273</v>
      </c>
      <c r="B117" s="30" t="s">
        <v>287</v>
      </c>
      <c r="C117" s="30" t="s">
        <v>296</v>
      </c>
      <c r="D117" s="185" t="s">
        <v>297</v>
      </c>
      <c r="E117" s="30" t="s">
        <v>55</v>
      </c>
      <c r="F117" s="30" t="s">
        <v>56</v>
      </c>
      <c r="G117" s="30">
        <v>1</v>
      </c>
      <c r="H117" s="26">
        <v>100000000</v>
      </c>
      <c r="I117" s="26">
        <f>Tabla2[[#This Row],[VU (COP)]]*Tabla2[[#This Row],[CANTIDAD]]</f>
        <v>100000000</v>
      </c>
      <c r="J117" s="26">
        <f>Tabla2[[#This Row],[TOTAL (COP)]]/$M$1</f>
        <v>22727.272727272728</v>
      </c>
      <c r="K117" s="5"/>
      <c r="L117" s="5"/>
      <c r="M117" s="5"/>
    </row>
    <row r="118" spans="1:13" x14ac:dyDescent="0.25">
      <c r="A118" s="178" t="s">
        <v>273</v>
      </c>
      <c r="B118" s="30" t="s">
        <v>298</v>
      </c>
      <c r="C118" s="30" t="s">
        <v>299</v>
      </c>
      <c r="D118" s="185" t="s">
        <v>300</v>
      </c>
      <c r="E118" s="30" t="s">
        <v>55</v>
      </c>
      <c r="F118" s="30" t="s">
        <v>56</v>
      </c>
      <c r="G118" s="30">
        <v>2</v>
      </c>
      <c r="H118" s="26">
        <v>400000000</v>
      </c>
      <c r="I118" s="26">
        <f>Tabla2[[#This Row],[VU (COP)]]*Tabla2[[#This Row],[CANTIDAD]]</f>
        <v>800000000</v>
      </c>
      <c r="J118" s="26">
        <f>Tabla2[[#This Row],[TOTAL (COP)]]/$M$1</f>
        <v>181818.18181818182</v>
      </c>
      <c r="K118" s="5"/>
      <c r="L118" s="5"/>
      <c r="M118" s="5"/>
    </row>
    <row r="119" spans="1:13" x14ac:dyDescent="0.25">
      <c r="A119" s="178" t="s">
        <v>273</v>
      </c>
      <c r="B119" s="30" t="s">
        <v>298</v>
      </c>
      <c r="C119" s="30" t="s">
        <v>301</v>
      </c>
      <c r="D119" s="185" t="s">
        <v>302</v>
      </c>
      <c r="E119" s="30" t="s">
        <v>55</v>
      </c>
      <c r="F119" s="30" t="s">
        <v>56</v>
      </c>
      <c r="G119" s="30">
        <v>1</v>
      </c>
      <c r="H119" s="26">
        <v>5000000000</v>
      </c>
      <c r="I119" s="26">
        <f>Tabla2[[#This Row],[VU (COP)]]*Tabla2[[#This Row],[CANTIDAD]]</f>
        <v>5000000000</v>
      </c>
      <c r="J119" s="26">
        <f>Tabla2[[#This Row],[TOTAL (COP)]]/$M$1</f>
        <v>1136363.6363636365</v>
      </c>
      <c r="K119" s="5"/>
      <c r="L119" s="5"/>
      <c r="M119" s="5"/>
    </row>
    <row r="120" spans="1:13" x14ac:dyDescent="0.25">
      <c r="A120" s="178" t="s">
        <v>273</v>
      </c>
      <c r="B120" s="30" t="s">
        <v>298</v>
      </c>
      <c r="C120" s="30" t="s">
        <v>303</v>
      </c>
      <c r="D120" s="185" t="s">
        <v>304</v>
      </c>
      <c r="E120" s="30" t="s">
        <v>55</v>
      </c>
      <c r="F120" s="30" t="s">
        <v>56</v>
      </c>
      <c r="G120" s="30">
        <v>1</v>
      </c>
      <c r="H120" s="26">
        <v>150000000</v>
      </c>
      <c r="I120" s="26">
        <f>Tabla2[[#This Row],[VU (COP)]]*Tabla2[[#This Row],[CANTIDAD]]</f>
        <v>150000000</v>
      </c>
      <c r="J120" s="26">
        <f>Tabla2[[#This Row],[TOTAL (COP)]]/$M$1</f>
        <v>34090.909090909088</v>
      </c>
      <c r="K120" s="5"/>
      <c r="L120" s="5"/>
      <c r="M120" s="5"/>
    </row>
    <row r="121" spans="1:13" x14ac:dyDescent="0.25">
      <c r="A121" s="178" t="s">
        <v>273</v>
      </c>
      <c r="B121" s="30" t="s">
        <v>298</v>
      </c>
      <c r="C121" s="30" t="s">
        <v>305</v>
      </c>
      <c r="D121" s="185" t="s">
        <v>68</v>
      </c>
      <c r="E121" s="30" t="s">
        <v>55</v>
      </c>
      <c r="F121" s="30" t="s">
        <v>56</v>
      </c>
      <c r="G121" s="30">
        <v>1</v>
      </c>
      <c r="H121" s="26">
        <v>4112000000</v>
      </c>
      <c r="I121" s="26">
        <f>Tabla2[[#This Row],[VU (COP)]]*Tabla2[[#This Row],[CANTIDAD]]</f>
        <v>4112000000</v>
      </c>
      <c r="J121" s="26">
        <f>Tabla2[[#This Row],[TOTAL (COP)]]/$M$1</f>
        <v>934545.45454545459</v>
      </c>
      <c r="K121" s="5"/>
      <c r="L121" s="5"/>
      <c r="M121" s="5"/>
    </row>
    <row r="122" spans="1:13" x14ac:dyDescent="0.25">
      <c r="A122" s="178" t="s">
        <v>273</v>
      </c>
      <c r="B122" s="30" t="s">
        <v>298</v>
      </c>
      <c r="C122" s="30" t="s">
        <v>306</v>
      </c>
      <c r="D122" s="185" t="s">
        <v>66</v>
      </c>
      <c r="E122" s="30" t="s">
        <v>55</v>
      </c>
      <c r="F122" s="30" t="s">
        <v>56</v>
      </c>
      <c r="G122" s="30">
        <v>1</v>
      </c>
      <c r="H122" s="26">
        <v>300000000</v>
      </c>
      <c r="I122" s="26">
        <f>Tabla2[[#This Row],[VU (COP)]]*Tabla2[[#This Row],[CANTIDAD]]</f>
        <v>300000000</v>
      </c>
      <c r="J122" s="26">
        <f>Tabla2[[#This Row],[TOTAL (COP)]]/$M$1</f>
        <v>68181.818181818177</v>
      </c>
      <c r="K122" s="5"/>
      <c r="L122" s="5"/>
      <c r="M122" s="5"/>
    </row>
    <row r="123" spans="1:13" x14ac:dyDescent="0.25">
      <c r="A123" s="178" t="s">
        <v>273</v>
      </c>
      <c r="B123" s="30" t="s">
        <v>298</v>
      </c>
      <c r="C123" s="30" t="s">
        <v>307</v>
      </c>
      <c r="D123" s="185" t="s">
        <v>308</v>
      </c>
      <c r="E123" s="30" t="s">
        <v>141</v>
      </c>
      <c r="F123" s="30" t="s">
        <v>56</v>
      </c>
      <c r="G123" s="30">
        <v>1</v>
      </c>
      <c r="H123" s="26">
        <v>100000000</v>
      </c>
      <c r="I123" s="26">
        <f>Tabla2[[#This Row],[VU (COP)]]*Tabla2[[#This Row],[CANTIDAD]]</f>
        <v>100000000</v>
      </c>
      <c r="J123" s="26">
        <f>Tabla2[[#This Row],[TOTAL (COP)]]/$M$1</f>
        <v>22727.272727272728</v>
      </c>
      <c r="K123" s="5"/>
      <c r="L123" s="5"/>
      <c r="M123" s="5"/>
    </row>
    <row r="124" spans="1:13" x14ac:dyDescent="0.25">
      <c r="A124" s="178" t="s">
        <v>309</v>
      </c>
      <c r="B124" s="30" t="s">
        <v>310</v>
      </c>
      <c r="C124" s="30" t="s">
        <v>311</v>
      </c>
      <c r="D124" s="185" t="s">
        <v>312</v>
      </c>
      <c r="E124" s="30" t="s">
        <v>55</v>
      </c>
      <c r="F124" s="30" t="s">
        <v>56</v>
      </c>
      <c r="G124" s="30">
        <v>15</v>
      </c>
      <c r="H124" s="26">
        <v>400000000</v>
      </c>
      <c r="I124" s="26">
        <f>Tabla2[[#This Row],[VU (COP)]]*Tabla2[[#This Row],[CANTIDAD]]</f>
        <v>6000000000</v>
      </c>
      <c r="J124" s="26">
        <f>Tabla2[[#This Row],[TOTAL (COP)]]/$M$1</f>
        <v>1363636.3636363635</v>
      </c>
      <c r="K124" s="5"/>
      <c r="L124" s="5"/>
      <c r="M124" s="5"/>
    </row>
    <row r="125" spans="1:13" x14ac:dyDescent="0.25">
      <c r="A125" s="178" t="s">
        <v>309</v>
      </c>
      <c r="B125" s="30" t="s">
        <v>310</v>
      </c>
      <c r="C125" s="30" t="s">
        <v>313</v>
      </c>
      <c r="D125" s="185" t="s">
        <v>314</v>
      </c>
      <c r="E125" s="30" t="s">
        <v>55</v>
      </c>
      <c r="F125" s="30" t="s">
        <v>56</v>
      </c>
      <c r="G125" s="30">
        <v>30</v>
      </c>
      <c r="H125" s="26">
        <v>35000000</v>
      </c>
      <c r="I125" s="26">
        <f>Tabla2[[#This Row],[VU (COP)]]*Tabla2[[#This Row],[CANTIDAD]]</f>
        <v>1050000000</v>
      </c>
      <c r="J125" s="26">
        <f>Tabla2[[#This Row],[TOTAL (COP)]]/$M$1</f>
        <v>238636.36363636365</v>
      </c>
      <c r="K125" s="5"/>
      <c r="L125" s="5"/>
      <c r="M125" s="5"/>
    </row>
    <row r="126" spans="1:13" ht="26.25" x14ac:dyDescent="0.25">
      <c r="A126" s="178" t="s">
        <v>309</v>
      </c>
      <c r="B126" s="30" t="s">
        <v>310</v>
      </c>
      <c r="C126" s="30" t="s">
        <v>315</v>
      </c>
      <c r="D126" s="185" t="s">
        <v>316</v>
      </c>
      <c r="E126" s="30" t="s">
        <v>55</v>
      </c>
      <c r="F126" s="30" t="s">
        <v>56</v>
      </c>
      <c r="G126" s="30">
        <v>30</v>
      </c>
      <c r="H126" s="26">
        <v>25000000</v>
      </c>
      <c r="I126" s="26">
        <f>Tabla2[[#This Row],[VU (COP)]]*Tabla2[[#This Row],[CANTIDAD]]</f>
        <v>750000000</v>
      </c>
      <c r="J126" s="26">
        <f>Tabla2[[#This Row],[TOTAL (COP)]]/$M$1</f>
        <v>170454.54545454544</v>
      </c>
      <c r="K126" s="5"/>
      <c r="L126" s="5"/>
      <c r="M126" s="5"/>
    </row>
    <row r="127" spans="1:13" x14ac:dyDescent="0.25">
      <c r="A127" s="178" t="s">
        <v>309</v>
      </c>
      <c r="B127" s="30" t="s">
        <v>310</v>
      </c>
      <c r="C127" s="30" t="s">
        <v>317</v>
      </c>
      <c r="D127" s="185" t="s">
        <v>318</v>
      </c>
      <c r="E127" s="30" t="s">
        <v>55</v>
      </c>
      <c r="F127" s="30" t="s">
        <v>56</v>
      </c>
      <c r="G127" s="30">
        <v>15</v>
      </c>
      <c r="H127" s="26">
        <v>35000000</v>
      </c>
      <c r="I127" s="26">
        <f>Tabla2[[#This Row],[VU (COP)]]*Tabla2[[#This Row],[CANTIDAD]]</f>
        <v>525000000</v>
      </c>
      <c r="J127" s="26">
        <f>Tabla2[[#This Row],[TOTAL (COP)]]/$M$1</f>
        <v>119318.18181818182</v>
      </c>
      <c r="K127" s="5"/>
      <c r="L127" s="5"/>
      <c r="M127" s="5"/>
    </row>
    <row r="128" spans="1:13" x14ac:dyDescent="0.25">
      <c r="A128" s="178" t="s">
        <v>309</v>
      </c>
      <c r="B128" s="30" t="s">
        <v>310</v>
      </c>
      <c r="C128" s="30" t="s">
        <v>319</v>
      </c>
      <c r="D128" s="185" t="s">
        <v>320</v>
      </c>
      <c r="E128" s="30" t="s">
        <v>55</v>
      </c>
      <c r="F128" s="30" t="s">
        <v>56</v>
      </c>
      <c r="G128" s="30">
        <v>15</v>
      </c>
      <c r="H128" s="26">
        <v>80000000</v>
      </c>
      <c r="I128" s="26">
        <f>Tabla2[[#This Row],[VU (COP)]]*Tabla2[[#This Row],[CANTIDAD]]</f>
        <v>1200000000</v>
      </c>
      <c r="J128" s="26">
        <f>Tabla2[[#This Row],[TOTAL (COP)]]/$M$1</f>
        <v>272727.27272727271</v>
      </c>
      <c r="K128" s="5"/>
      <c r="L128" s="5"/>
      <c r="M128" s="5"/>
    </row>
    <row r="129" spans="1:13" x14ac:dyDescent="0.25">
      <c r="A129" s="178" t="s">
        <v>309</v>
      </c>
      <c r="B129" s="30" t="s">
        <v>310</v>
      </c>
      <c r="C129" s="30" t="s">
        <v>321</v>
      </c>
      <c r="D129" s="185" t="s">
        <v>212</v>
      </c>
      <c r="E129" s="30" t="s">
        <v>141</v>
      </c>
      <c r="F129" s="30" t="s">
        <v>56</v>
      </c>
      <c r="G129" s="30">
        <v>15</v>
      </c>
      <c r="H129" s="26">
        <v>100000000</v>
      </c>
      <c r="I129" s="26">
        <f>Tabla2[[#This Row],[VU (COP)]]*Tabla2[[#This Row],[CANTIDAD]]</f>
        <v>1500000000</v>
      </c>
      <c r="J129" s="26">
        <f>Tabla2[[#This Row],[TOTAL (COP)]]/$M$1</f>
        <v>340909.09090909088</v>
      </c>
      <c r="K129" s="5"/>
      <c r="L129" s="5"/>
      <c r="M129" s="5"/>
    </row>
    <row r="130" spans="1:13" x14ac:dyDescent="0.25">
      <c r="A130" s="178" t="s">
        <v>309</v>
      </c>
      <c r="B130" s="30" t="s">
        <v>310</v>
      </c>
      <c r="C130" s="30" t="s">
        <v>322</v>
      </c>
      <c r="D130" s="185" t="s">
        <v>147</v>
      </c>
      <c r="E130" s="30" t="s">
        <v>55</v>
      </c>
      <c r="F130" s="30" t="s">
        <v>56</v>
      </c>
      <c r="G130" s="30">
        <v>1</v>
      </c>
      <c r="H130" s="26">
        <v>1102500000</v>
      </c>
      <c r="I130" s="26">
        <f>Tabla2[[#This Row],[VU (COP)]]*Tabla2[[#This Row],[CANTIDAD]]</f>
        <v>1102500000</v>
      </c>
      <c r="J130" s="26">
        <f>Tabla2[[#This Row],[TOTAL (COP)]]/$M$1</f>
        <v>250568.18181818182</v>
      </c>
      <c r="K130" s="5"/>
      <c r="L130" s="5"/>
      <c r="M130" s="5"/>
    </row>
    <row r="131" spans="1:13" x14ac:dyDescent="0.25">
      <c r="A131" s="178" t="s">
        <v>309</v>
      </c>
      <c r="B131" s="30" t="s">
        <v>323</v>
      </c>
      <c r="C131" s="30" t="s">
        <v>324</v>
      </c>
      <c r="D131" s="185" t="s">
        <v>325</v>
      </c>
      <c r="E131" s="30" t="s">
        <v>55</v>
      </c>
      <c r="F131" s="30" t="s">
        <v>56</v>
      </c>
      <c r="G131" s="30">
        <v>15</v>
      </c>
      <c r="H131" s="26">
        <v>25000000</v>
      </c>
      <c r="I131" s="26">
        <f>Tabla2[[#This Row],[VU (COP)]]*Tabla2[[#This Row],[CANTIDAD]]</f>
        <v>375000000</v>
      </c>
      <c r="J131" s="26">
        <f>Tabla2[[#This Row],[TOTAL (COP)]]/$M$1</f>
        <v>85227.272727272721</v>
      </c>
      <c r="K131" s="5"/>
      <c r="L131" s="5"/>
      <c r="M131" s="5"/>
    </row>
    <row r="132" spans="1:13" x14ac:dyDescent="0.25">
      <c r="A132" s="178" t="s">
        <v>309</v>
      </c>
      <c r="B132" s="30" t="s">
        <v>323</v>
      </c>
      <c r="C132" s="30" t="s">
        <v>326</v>
      </c>
      <c r="D132" s="185" t="s">
        <v>327</v>
      </c>
      <c r="E132" s="30" t="s">
        <v>55</v>
      </c>
      <c r="F132" s="30" t="s">
        <v>56</v>
      </c>
      <c r="G132" s="30">
        <v>2</v>
      </c>
      <c r="H132" s="26">
        <v>25000000</v>
      </c>
      <c r="I132" s="26">
        <f>Tabla2[[#This Row],[VU (COP)]]*Tabla2[[#This Row],[CANTIDAD]]</f>
        <v>50000000</v>
      </c>
      <c r="J132" s="26">
        <f>Tabla2[[#This Row],[TOTAL (COP)]]/$M$1</f>
        <v>11363.636363636364</v>
      </c>
      <c r="K132" s="5"/>
      <c r="L132" s="5"/>
      <c r="M132" s="5"/>
    </row>
    <row r="133" spans="1:13" x14ac:dyDescent="0.25">
      <c r="A133" s="178" t="s">
        <v>309</v>
      </c>
      <c r="B133" s="30" t="s">
        <v>323</v>
      </c>
      <c r="C133" s="30" t="s">
        <v>328</v>
      </c>
      <c r="D133" s="185" t="s">
        <v>329</v>
      </c>
      <c r="E133" s="30" t="s">
        <v>55</v>
      </c>
      <c r="F133" s="30" t="s">
        <v>56</v>
      </c>
      <c r="G133" s="30">
        <v>15</v>
      </c>
      <c r="H133" s="26">
        <v>5000000</v>
      </c>
      <c r="I133" s="26">
        <f>Tabla2[[#This Row],[VU (COP)]]*Tabla2[[#This Row],[CANTIDAD]]</f>
        <v>75000000</v>
      </c>
      <c r="J133" s="26">
        <f>Tabla2[[#This Row],[TOTAL (COP)]]/$M$1</f>
        <v>17045.454545454544</v>
      </c>
      <c r="K133" s="5"/>
      <c r="L133" s="5"/>
      <c r="M133" s="5"/>
    </row>
    <row r="134" spans="1:13" x14ac:dyDescent="0.25">
      <c r="A134" s="178" t="s">
        <v>309</v>
      </c>
      <c r="B134" s="30" t="s">
        <v>323</v>
      </c>
      <c r="C134" s="30" t="s">
        <v>330</v>
      </c>
      <c r="D134" s="185" t="s">
        <v>331</v>
      </c>
      <c r="E134" s="30" t="s">
        <v>141</v>
      </c>
      <c r="F134" s="30" t="s">
        <v>56</v>
      </c>
      <c r="G134" s="30">
        <v>1</v>
      </c>
      <c r="H134" s="26">
        <v>20000000</v>
      </c>
      <c r="I134" s="26">
        <f>Tabla2[[#This Row],[VU (COP)]]*Tabla2[[#This Row],[CANTIDAD]]</f>
        <v>20000000</v>
      </c>
      <c r="J134" s="26">
        <f>Tabla2[[#This Row],[TOTAL (COP)]]/$M$1</f>
        <v>4545.454545454545</v>
      </c>
      <c r="K134" s="5"/>
      <c r="L134" s="5"/>
      <c r="M134" s="5"/>
    </row>
    <row r="135" spans="1:13" x14ac:dyDescent="0.25">
      <c r="K135" s="5"/>
      <c r="L135" s="5"/>
      <c r="M135" s="5"/>
    </row>
    <row r="136" spans="1:13" x14ac:dyDescent="0.25">
      <c r="A136" s="180"/>
      <c r="B136" s="5"/>
      <c r="C136" s="5"/>
      <c r="D136" s="5"/>
      <c r="E136" s="5"/>
      <c r="F136" s="5"/>
      <c r="G136" s="5"/>
      <c r="H136" s="5"/>
      <c r="I136" s="5"/>
      <c r="J136" s="5"/>
      <c r="K136" s="5"/>
      <c r="L136" s="5"/>
      <c r="M136" s="5"/>
    </row>
    <row r="137" spans="1:13" x14ac:dyDescent="0.25">
      <c r="A137" s="181"/>
      <c r="B137" s="24"/>
      <c r="C137" s="24"/>
      <c r="D137" s="24"/>
      <c r="E137" s="24"/>
      <c r="F137" s="24"/>
      <c r="G137" s="24"/>
      <c r="H137" s="7" t="s">
        <v>332</v>
      </c>
      <c r="I137" s="7" t="s">
        <v>333</v>
      </c>
      <c r="J137" s="7" t="s">
        <v>334</v>
      </c>
      <c r="K137" s="5"/>
      <c r="L137" s="5"/>
      <c r="M137" s="5"/>
    </row>
    <row r="138" spans="1:13" x14ac:dyDescent="0.25">
      <c r="A138" s="182"/>
      <c r="B138" s="11"/>
      <c r="C138" s="11"/>
      <c r="D138" s="11"/>
      <c r="E138" s="11"/>
      <c r="F138" s="11"/>
      <c r="G138" s="11"/>
      <c r="H138" s="9" t="s">
        <v>335</v>
      </c>
      <c r="I138" s="32">
        <f>SUMIF($E$2:$E$134,"SUMINISTRO",$I$2:$I$134)</f>
        <v>148755895087</v>
      </c>
      <c r="J138" s="32">
        <f>I138/$M$1</f>
        <v>33808157.974318184</v>
      </c>
      <c r="K138" s="5"/>
      <c r="L138" s="5"/>
      <c r="M138" s="5"/>
    </row>
    <row r="139" spans="1:13" x14ac:dyDescent="0.25">
      <c r="A139" s="182"/>
      <c r="B139" s="11"/>
      <c r="C139" s="11"/>
      <c r="D139" s="11"/>
      <c r="E139" s="11"/>
      <c r="F139" s="11"/>
      <c r="G139" s="11"/>
      <c r="H139" s="9" t="s">
        <v>336</v>
      </c>
      <c r="I139" s="32">
        <f>SUMIF($E$2:$E$134,"SERVICIO",$I$2:$I$134)</f>
        <v>4296000000</v>
      </c>
      <c r="J139" s="32">
        <f>I139/$M$1</f>
        <v>976363.63636363635</v>
      </c>
      <c r="K139" s="5"/>
      <c r="L139" s="5"/>
      <c r="M139" s="5"/>
    </row>
    <row r="140" spans="1:13" x14ac:dyDescent="0.25">
      <c r="A140" s="182"/>
      <c r="B140" s="11"/>
      <c r="C140" s="11"/>
      <c r="D140" s="11"/>
      <c r="E140" s="11"/>
      <c r="F140" s="11"/>
      <c r="G140" s="11"/>
      <c r="H140" s="10" t="s">
        <v>337</v>
      </c>
      <c r="I140" s="25">
        <f>(I138+I139)*0.19</f>
        <v>29079860066.529999</v>
      </c>
      <c r="J140" s="25">
        <f>I140/$M$1</f>
        <v>6609059.106029545</v>
      </c>
      <c r="K140" s="5"/>
      <c r="L140" s="5"/>
      <c r="M140" s="5"/>
    </row>
    <row r="141" spans="1:13" x14ac:dyDescent="0.25">
      <c r="A141" s="182"/>
      <c r="B141" s="11"/>
      <c r="C141" s="11"/>
      <c r="D141" s="11"/>
      <c r="E141" s="11"/>
      <c r="F141" s="11"/>
      <c r="G141" s="11"/>
      <c r="H141" s="9" t="s">
        <v>338</v>
      </c>
      <c r="I141" s="32">
        <f>I138+I139+I140</f>
        <v>182131755153.53</v>
      </c>
      <c r="J141" s="32">
        <f>I141/$M$1</f>
        <v>41393580.716711365</v>
      </c>
      <c r="K141" s="5"/>
      <c r="L141" s="5"/>
      <c r="M141" s="5"/>
    </row>
    <row r="142" spans="1:13" x14ac:dyDescent="0.25">
      <c r="A142" s="182"/>
      <c r="B142" s="11"/>
      <c r="C142" s="11"/>
      <c r="D142" s="11"/>
      <c r="E142" s="11"/>
      <c r="F142" s="11"/>
      <c r="G142" s="11"/>
      <c r="H142" s="10"/>
      <c r="I142" s="25"/>
      <c r="J142" s="25"/>
      <c r="K142" s="5"/>
      <c r="L142" s="5"/>
      <c r="M142" s="5"/>
    </row>
    <row r="143" spans="1:13" x14ac:dyDescent="0.25">
      <c r="A143" s="182"/>
      <c r="B143" s="11"/>
      <c r="C143" s="11"/>
      <c r="D143" s="11"/>
      <c r="E143" s="11"/>
      <c r="F143" s="11"/>
      <c r="G143" s="11"/>
      <c r="H143" s="9" t="s">
        <v>339</v>
      </c>
      <c r="I143" s="32">
        <f>SUMIF($E$2:$E$134,"OBRA",$I$2:$I$134)</f>
        <v>58139423473</v>
      </c>
      <c r="J143" s="32">
        <f>I143/$M$1</f>
        <v>13213505.334772727</v>
      </c>
      <c r="K143" s="5"/>
      <c r="L143" s="5"/>
      <c r="M143" s="5"/>
    </row>
    <row r="144" spans="1:13" x14ac:dyDescent="0.25">
      <c r="A144" s="182"/>
      <c r="B144" s="11"/>
      <c r="C144" s="11"/>
      <c r="D144" s="11"/>
      <c r="E144" s="11"/>
      <c r="F144" s="11"/>
      <c r="G144" s="11"/>
      <c r="H144" s="10" t="s">
        <v>340</v>
      </c>
      <c r="I144" s="25">
        <f>I143*0.23</f>
        <v>13372067398.790001</v>
      </c>
      <c r="J144" s="25">
        <f>I144/$M$1</f>
        <v>3039106.2269977275</v>
      </c>
      <c r="K144" s="5"/>
      <c r="L144" s="5"/>
      <c r="M144" s="5"/>
    </row>
    <row r="145" spans="1:13" x14ac:dyDescent="0.25">
      <c r="A145" s="182"/>
      <c r="B145" s="11"/>
      <c r="C145" s="11"/>
      <c r="D145" s="11"/>
      <c r="E145" s="11"/>
      <c r="F145" s="11"/>
      <c r="G145" s="11"/>
      <c r="H145" s="10" t="s">
        <v>341</v>
      </c>
      <c r="I145" s="25">
        <f>I143*0.05</f>
        <v>2906971173.6500001</v>
      </c>
      <c r="J145" s="25">
        <f>I145/$M$1</f>
        <v>660675.26673863642</v>
      </c>
      <c r="K145" s="5"/>
      <c r="L145" s="5"/>
      <c r="M145" s="5"/>
    </row>
    <row r="146" spans="1:13" x14ac:dyDescent="0.25">
      <c r="A146" s="182"/>
      <c r="B146" s="11"/>
      <c r="C146" s="11"/>
      <c r="D146" s="11"/>
      <c r="E146" s="11"/>
      <c r="F146" s="11"/>
      <c r="G146" s="11"/>
      <c r="H146" s="10" t="s">
        <v>342</v>
      </c>
      <c r="I146" s="25">
        <f>I143*0.05</f>
        <v>2906971173.6500001</v>
      </c>
      <c r="J146" s="25">
        <f>I146/$M$1</f>
        <v>660675.26673863642</v>
      </c>
      <c r="K146" s="5"/>
      <c r="L146" s="5"/>
      <c r="M146" s="5"/>
    </row>
    <row r="147" spans="1:13" x14ac:dyDescent="0.25">
      <c r="A147" s="182"/>
      <c r="B147" s="11"/>
      <c r="C147" s="11"/>
      <c r="D147" s="11"/>
      <c r="E147" s="11"/>
      <c r="F147" s="11"/>
      <c r="G147" s="11"/>
      <c r="H147" s="10" t="s">
        <v>343</v>
      </c>
      <c r="I147" s="25">
        <f>I146*0.19</f>
        <v>552324522.99349999</v>
      </c>
      <c r="J147" s="25">
        <f>I147/$M$1</f>
        <v>125528.30068034091</v>
      </c>
      <c r="K147" s="5"/>
      <c r="L147" s="5"/>
      <c r="M147" s="5"/>
    </row>
    <row r="148" spans="1:13" x14ac:dyDescent="0.25">
      <c r="A148" s="182"/>
      <c r="B148" s="11"/>
      <c r="C148" s="11"/>
      <c r="D148" s="11"/>
      <c r="E148" s="11"/>
      <c r="F148" s="11"/>
      <c r="G148" s="11"/>
      <c r="H148" s="9" t="s">
        <v>344</v>
      </c>
      <c r="I148" s="32">
        <f>I143+I144+I145+I146+I147</f>
        <v>77877757742.083496</v>
      </c>
      <c r="J148" s="32">
        <f>I148/$M$1</f>
        <v>17699490.395928066</v>
      </c>
      <c r="K148" s="5"/>
      <c r="L148" s="5"/>
      <c r="M148" s="5"/>
    </row>
    <row r="149" spans="1:13" x14ac:dyDescent="0.25">
      <c r="A149" s="182"/>
      <c r="B149" s="11"/>
      <c r="C149" s="11"/>
      <c r="D149" s="11"/>
      <c r="E149" s="11"/>
      <c r="F149" s="11"/>
      <c r="G149" s="11"/>
      <c r="H149" s="10"/>
      <c r="I149" s="25"/>
      <c r="J149" s="25"/>
      <c r="K149" s="5"/>
      <c r="L149" s="5"/>
      <c r="M149" s="5"/>
    </row>
    <row r="150" spans="1:13" x14ac:dyDescent="0.25">
      <c r="A150" s="182"/>
      <c r="B150" s="11"/>
      <c r="C150" s="11"/>
      <c r="D150" s="11"/>
      <c r="E150" s="11"/>
      <c r="F150" s="11"/>
      <c r="G150" s="11"/>
      <c r="H150" s="9" t="s">
        <v>345</v>
      </c>
      <c r="I150" s="32">
        <f>I141</f>
        <v>182131755153.53</v>
      </c>
      <c r="J150" s="32">
        <f>I150/$M$1</f>
        <v>41393580.716711365</v>
      </c>
      <c r="K150" s="5"/>
      <c r="L150" s="5"/>
      <c r="M150" s="5"/>
    </row>
    <row r="151" spans="1:13" x14ac:dyDescent="0.25">
      <c r="A151" s="182"/>
      <c r="B151" s="11"/>
      <c r="C151" s="11"/>
      <c r="D151" s="11"/>
      <c r="E151" s="11"/>
      <c r="F151" s="11"/>
      <c r="G151" s="11"/>
      <c r="H151" s="9" t="s">
        <v>346</v>
      </c>
      <c r="I151" s="32">
        <f>I148</f>
        <v>77877757742.083496</v>
      </c>
      <c r="J151" s="32">
        <f>I151/$M$1</f>
        <v>17699490.395928066</v>
      </c>
      <c r="K151" s="5"/>
      <c r="L151" s="5"/>
      <c r="M151" s="5"/>
    </row>
    <row r="152" spans="1:13" x14ac:dyDescent="0.25">
      <c r="A152" s="182"/>
      <c r="B152" s="11"/>
      <c r="C152" s="11"/>
      <c r="D152" s="11"/>
      <c r="E152" s="11"/>
      <c r="F152" s="11"/>
      <c r="G152" s="11"/>
      <c r="H152" s="9" t="s">
        <v>347</v>
      </c>
      <c r="I152" s="32">
        <f>I150+I151</f>
        <v>260009512895.61349</v>
      </c>
      <c r="J152" s="32">
        <f>I152/$M$1</f>
        <v>59093071.112639427</v>
      </c>
      <c r="K152" s="5"/>
      <c r="L152" s="5"/>
      <c r="M152" s="5"/>
    </row>
    <row r="153" spans="1:13" x14ac:dyDescent="0.25">
      <c r="A153" s="182"/>
      <c r="B153" s="11"/>
      <c r="C153" s="11"/>
      <c r="D153" s="11"/>
      <c r="E153" s="11"/>
      <c r="F153" s="11"/>
      <c r="G153" s="11"/>
      <c r="H153" s="10"/>
      <c r="I153" s="25"/>
      <c r="J153" s="25"/>
      <c r="K153" s="5"/>
      <c r="L153" s="5"/>
      <c r="M153" s="5"/>
    </row>
    <row r="154" spans="1:13" x14ac:dyDescent="0.25">
      <c r="A154" s="182"/>
      <c r="B154" s="11"/>
      <c r="C154" s="11"/>
      <c r="D154" s="11"/>
      <c r="E154" s="11"/>
      <c r="F154" s="11"/>
      <c r="G154" s="11"/>
      <c r="H154" s="10" t="s">
        <v>348</v>
      </c>
      <c r="I154" s="183">
        <v>4400</v>
      </c>
      <c r="J154" s="10"/>
      <c r="K154" s="5"/>
      <c r="L154" s="5"/>
      <c r="M154" s="5"/>
    </row>
    <row r="155" spans="1:13" x14ac:dyDescent="0.25">
      <c r="A155" s="182"/>
      <c r="B155" s="11"/>
      <c r="C155" s="11"/>
      <c r="D155" s="11"/>
      <c r="E155" s="11"/>
      <c r="F155" s="11"/>
      <c r="G155" s="11"/>
      <c r="H155" s="10" t="s">
        <v>349</v>
      </c>
      <c r="I155" s="10" t="s">
        <v>350</v>
      </c>
      <c r="J155" s="10"/>
      <c r="K155" s="5"/>
      <c r="L155" s="5"/>
      <c r="M155" s="5"/>
    </row>
  </sheetData>
  <pageMargins left="0.5" right="0.5" top="0.5" bottom="0.5" header="0.25" footer="0.25"/>
  <pageSetup paperSize="9" orientation="landscape" r:id="rId1"/>
  <ignoredErrors>
    <ignoredError sqref="A136:M156 K2:M135 K1" numberStoredAsText="1"/>
  </ignoredErrors>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48"/>
  <sheetViews>
    <sheetView workbookViewId="0">
      <pane ySplit="4" topLeftCell="A132" activePane="bottomLeft" state="frozen"/>
      <selection pane="bottomLeft" activeCell="G142" sqref="A141:G142"/>
    </sheetView>
  </sheetViews>
  <sheetFormatPr baseColWidth="10" defaultRowHeight="15" x14ac:dyDescent="0.25"/>
  <cols>
    <col min="1" max="1" width="12" bestFit="1" customWidth="1"/>
    <col min="2" max="2" width="8.625" customWidth="1"/>
    <col min="3" max="3" width="50" customWidth="1"/>
    <col min="4" max="4" width="6.125" customWidth="1"/>
    <col min="5" max="5" width="6" bestFit="1" customWidth="1"/>
    <col min="6" max="6" width="21.625" customWidth="1"/>
    <col min="7" max="7" width="22" bestFit="1" customWidth="1"/>
  </cols>
  <sheetData>
    <row r="1" spans="1:7" ht="30" customHeight="1" x14ac:dyDescent="0.25">
      <c r="A1" s="15" t="s">
        <v>351</v>
      </c>
      <c r="B1" s="6"/>
      <c r="C1" s="6"/>
      <c r="D1" s="6"/>
      <c r="E1" s="6"/>
      <c r="F1" s="6"/>
      <c r="G1" s="6"/>
    </row>
    <row r="2" spans="1:7" ht="15.75" x14ac:dyDescent="0.25">
      <c r="A2" s="16" t="s">
        <v>352</v>
      </c>
      <c r="B2" s="16"/>
      <c r="C2" s="16"/>
      <c r="D2" s="16"/>
      <c r="E2" s="16"/>
      <c r="F2" s="16"/>
      <c r="G2" s="16"/>
    </row>
    <row r="3" spans="1:7" ht="16.5" thickBot="1" x14ac:dyDescent="0.3">
      <c r="A3" s="5"/>
      <c r="B3" s="5"/>
      <c r="C3" s="5"/>
      <c r="D3" s="5"/>
      <c r="E3" s="5"/>
      <c r="F3" s="5"/>
      <c r="G3" s="5"/>
    </row>
    <row r="4" spans="1:7" ht="26.1" customHeight="1" thickBot="1" x14ac:dyDescent="0.3">
      <c r="A4" s="199" t="s">
        <v>45</v>
      </c>
      <c r="B4" s="200" t="s">
        <v>43</v>
      </c>
      <c r="C4" s="201" t="s">
        <v>44</v>
      </c>
      <c r="D4" s="200" t="s">
        <v>56</v>
      </c>
      <c r="E4" s="200" t="s">
        <v>353</v>
      </c>
      <c r="F4" s="200" t="s">
        <v>48</v>
      </c>
      <c r="G4" s="202" t="s">
        <v>49</v>
      </c>
    </row>
    <row r="5" spans="1:7" ht="15.75" x14ac:dyDescent="0.25">
      <c r="A5" s="89" t="s">
        <v>55</v>
      </c>
      <c r="B5" s="75" t="s">
        <v>53</v>
      </c>
      <c r="C5" s="76" t="s">
        <v>54</v>
      </c>
      <c r="D5" s="75" t="s">
        <v>56</v>
      </c>
      <c r="E5" s="75">
        <v>2</v>
      </c>
      <c r="F5" s="78">
        <v>180000000</v>
      </c>
      <c r="G5" s="90">
        <v>360000000</v>
      </c>
    </row>
    <row r="6" spans="1:7" ht="15.75" x14ac:dyDescent="0.25">
      <c r="A6" s="89" t="s">
        <v>55</v>
      </c>
      <c r="B6" s="75" t="s">
        <v>57</v>
      </c>
      <c r="C6" s="76" t="s">
        <v>58</v>
      </c>
      <c r="D6" s="75" t="s">
        <v>56</v>
      </c>
      <c r="E6" s="75">
        <v>2</v>
      </c>
      <c r="F6" s="78">
        <v>180000000</v>
      </c>
      <c r="G6" s="90">
        <v>360000000</v>
      </c>
    </row>
    <row r="7" spans="1:7" ht="15.75" x14ac:dyDescent="0.25">
      <c r="A7" s="89" t="s">
        <v>55</v>
      </c>
      <c r="B7" s="75" t="s">
        <v>59</v>
      </c>
      <c r="C7" s="76" t="s">
        <v>60</v>
      </c>
      <c r="D7" s="75" t="s">
        <v>56</v>
      </c>
      <c r="E7" s="75">
        <v>8</v>
      </c>
      <c r="F7" s="78">
        <v>45000000</v>
      </c>
      <c r="G7" s="90">
        <v>360000000</v>
      </c>
    </row>
    <row r="8" spans="1:7" ht="29.25" x14ac:dyDescent="0.25">
      <c r="A8" s="89" t="s">
        <v>55</v>
      </c>
      <c r="B8" s="75" t="s">
        <v>61</v>
      </c>
      <c r="C8" s="76" t="s">
        <v>62</v>
      </c>
      <c r="D8" s="75" t="s">
        <v>56</v>
      </c>
      <c r="E8" s="75">
        <v>1</v>
      </c>
      <c r="F8" s="78">
        <v>11000000000</v>
      </c>
      <c r="G8" s="90">
        <v>11000000000</v>
      </c>
    </row>
    <row r="9" spans="1:7" ht="15.75" x14ac:dyDescent="0.25">
      <c r="A9" s="89" t="s">
        <v>55</v>
      </c>
      <c r="B9" s="75" t="s">
        <v>63</v>
      </c>
      <c r="C9" s="76" t="s">
        <v>64</v>
      </c>
      <c r="D9" s="75" t="s">
        <v>56</v>
      </c>
      <c r="E9" s="75">
        <v>1</v>
      </c>
      <c r="F9" s="78">
        <v>200000000</v>
      </c>
      <c r="G9" s="90">
        <v>200000000</v>
      </c>
    </row>
    <row r="10" spans="1:7" ht="15.75" x14ac:dyDescent="0.25">
      <c r="A10" s="89" t="s">
        <v>55</v>
      </c>
      <c r="B10" s="75" t="s">
        <v>65</v>
      </c>
      <c r="C10" s="76" t="s">
        <v>66</v>
      </c>
      <c r="D10" s="75" t="s">
        <v>56</v>
      </c>
      <c r="E10" s="75">
        <v>1</v>
      </c>
      <c r="F10" s="78">
        <v>300000000</v>
      </c>
      <c r="G10" s="90">
        <v>300000000</v>
      </c>
    </row>
    <row r="11" spans="1:7" ht="15.75" x14ac:dyDescent="0.25">
      <c r="A11" s="89" t="s">
        <v>55</v>
      </c>
      <c r="B11" s="75" t="s">
        <v>67</v>
      </c>
      <c r="C11" s="76" t="s">
        <v>68</v>
      </c>
      <c r="D11" s="75" t="s">
        <v>56</v>
      </c>
      <c r="E11" s="75">
        <v>1</v>
      </c>
      <c r="F11" s="78">
        <v>150000000</v>
      </c>
      <c r="G11" s="90">
        <v>150000000</v>
      </c>
    </row>
    <row r="12" spans="1:7" ht="15.75" x14ac:dyDescent="0.25">
      <c r="A12" s="89" t="s">
        <v>55</v>
      </c>
      <c r="B12" s="75" t="s">
        <v>70</v>
      </c>
      <c r="C12" s="76" t="s">
        <v>71</v>
      </c>
      <c r="D12" s="75" t="s">
        <v>56</v>
      </c>
      <c r="E12" s="75">
        <v>15</v>
      </c>
      <c r="F12" s="78">
        <v>120000000</v>
      </c>
      <c r="G12" s="90">
        <v>1800000000</v>
      </c>
    </row>
    <row r="13" spans="1:7" ht="15.75" x14ac:dyDescent="0.25">
      <c r="A13" s="89" t="s">
        <v>55</v>
      </c>
      <c r="B13" s="75" t="s">
        <v>72</v>
      </c>
      <c r="C13" s="76" t="s">
        <v>73</v>
      </c>
      <c r="D13" s="75" t="s">
        <v>56</v>
      </c>
      <c r="E13" s="75">
        <v>15</v>
      </c>
      <c r="F13" s="78">
        <v>80000000</v>
      </c>
      <c r="G13" s="90">
        <v>1200000000</v>
      </c>
    </row>
    <row r="14" spans="1:7" ht="15.75" x14ac:dyDescent="0.25">
      <c r="A14" s="89" t="s">
        <v>55</v>
      </c>
      <c r="B14" s="75" t="s">
        <v>74</v>
      </c>
      <c r="C14" s="76" t="s">
        <v>75</v>
      </c>
      <c r="D14" s="75" t="s">
        <v>56</v>
      </c>
      <c r="E14" s="75">
        <v>15</v>
      </c>
      <c r="F14" s="78">
        <v>25000000</v>
      </c>
      <c r="G14" s="90">
        <v>375000000</v>
      </c>
    </row>
    <row r="15" spans="1:7" ht="15.75" x14ac:dyDescent="0.25">
      <c r="A15" s="89" t="s">
        <v>55</v>
      </c>
      <c r="B15" s="75" t="s">
        <v>76</v>
      </c>
      <c r="C15" s="76" t="s">
        <v>77</v>
      </c>
      <c r="D15" s="75" t="s">
        <v>56</v>
      </c>
      <c r="E15" s="75">
        <v>15</v>
      </c>
      <c r="F15" s="78">
        <v>35000000</v>
      </c>
      <c r="G15" s="90">
        <v>525000000</v>
      </c>
    </row>
    <row r="16" spans="1:7" ht="15.75" x14ac:dyDescent="0.25">
      <c r="A16" s="89" t="s">
        <v>55</v>
      </c>
      <c r="B16" s="75" t="s">
        <v>78</v>
      </c>
      <c r="C16" s="76" t="s">
        <v>79</v>
      </c>
      <c r="D16" s="75" t="s">
        <v>56</v>
      </c>
      <c r="E16" s="75">
        <v>15</v>
      </c>
      <c r="F16" s="78">
        <v>100000000</v>
      </c>
      <c r="G16" s="90">
        <v>1500000000</v>
      </c>
    </row>
    <row r="17" spans="1:7" ht="15.75" x14ac:dyDescent="0.25">
      <c r="A17" s="89" t="s">
        <v>55</v>
      </c>
      <c r="B17" s="75" t="s">
        <v>80</v>
      </c>
      <c r="C17" s="76" t="s">
        <v>81</v>
      </c>
      <c r="D17" s="75" t="s">
        <v>56</v>
      </c>
      <c r="E17" s="75">
        <v>15</v>
      </c>
      <c r="F17" s="78">
        <v>30000000</v>
      </c>
      <c r="G17" s="90">
        <v>450000000</v>
      </c>
    </row>
    <row r="18" spans="1:7" ht="15.75" x14ac:dyDescent="0.25">
      <c r="A18" s="89" t="s">
        <v>55</v>
      </c>
      <c r="B18" s="75" t="s">
        <v>82</v>
      </c>
      <c r="C18" s="76" t="s">
        <v>66</v>
      </c>
      <c r="D18" s="75" t="s">
        <v>56</v>
      </c>
      <c r="E18" s="75">
        <v>15</v>
      </c>
      <c r="F18" s="78">
        <v>50000000</v>
      </c>
      <c r="G18" s="90">
        <v>750000000</v>
      </c>
    </row>
    <row r="19" spans="1:7" ht="43.5" x14ac:dyDescent="0.25">
      <c r="A19" s="89" t="s">
        <v>55</v>
      </c>
      <c r="B19" s="75" t="s">
        <v>84</v>
      </c>
      <c r="C19" s="76" t="s">
        <v>85</v>
      </c>
      <c r="D19" s="75" t="s">
        <v>56</v>
      </c>
      <c r="E19" s="75">
        <v>1</v>
      </c>
      <c r="F19" s="78">
        <v>2000000000</v>
      </c>
      <c r="G19" s="90">
        <v>2000000000</v>
      </c>
    </row>
    <row r="20" spans="1:7" ht="15.75" x14ac:dyDescent="0.25">
      <c r="A20" s="89" t="s">
        <v>55</v>
      </c>
      <c r="B20" s="75" t="s">
        <v>86</v>
      </c>
      <c r="C20" s="76" t="s">
        <v>87</v>
      </c>
      <c r="D20" s="75" t="s">
        <v>56</v>
      </c>
      <c r="E20" s="75">
        <v>1</v>
      </c>
      <c r="F20" s="78">
        <v>2000000000</v>
      </c>
      <c r="G20" s="90">
        <v>2000000000</v>
      </c>
    </row>
    <row r="21" spans="1:7" ht="29.25" x14ac:dyDescent="0.25">
      <c r="A21" s="89" t="s">
        <v>55</v>
      </c>
      <c r="B21" s="75" t="s">
        <v>88</v>
      </c>
      <c r="C21" s="76" t="s">
        <v>89</v>
      </c>
      <c r="D21" s="75" t="s">
        <v>56</v>
      </c>
      <c r="E21" s="75">
        <v>1</v>
      </c>
      <c r="F21" s="78">
        <v>2000000000</v>
      </c>
      <c r="G21" s="90">
        <v>2000000000</v>
      </c>
    </row>
    <row r="22" spans="1:7" ht="29.25" x14ac:dyDescent="0.25">
      <c r="A22" s="89" t="s">
        <v>55</v>
      </c>
      <c r="B22" s="75" t="s">
        <v>90</v>
      </c>
      <c r="C22" s="76" t="s">
        <v>91</v>
      </c>
      <c r="D22" s="75" t="s">
        <v>56</v>
      </c>
      <c r="E22" s="75">
        <v>1</v>
      </c>
      <c r="F22" s="78">
        <v>2000000000</v>
      </c>
      <c r="G22" s="90">
        <v>2000000000</v>
      </c>
    </row>
    <row r="23" spans="1:7" ht="29.25" x14ac:dyDescent="0.25">
      <c r="A23" s="89" t="s">
        <v>55</v>
      </c>
      <c r="B23" s="75" t="s">
        <v>92</v>
      </c>
      <c r="C23" s="76" t="s">
        <v>93</v>
      </c>
      <c r="D23" s="75" t="s">
        <v>56</v>
      </c>
      <c r="E23" s="75">
        <v>1</v>
      </c>
      <c r="F23" s="78">
        <v>2000000000</v>
      </c>
      <c r="G23" s="90">
        <v>2000000000</v>
      </c>
    </row>
    <row r="24" spans="1:7" ht="15.75" x14ac:dyDescent="0.25">
      <c r="A24" s="89" t="s">
        <v>55</v>
      </c>
      <c r="B24" s="75" t="s">
        <v>94</v>
      </c>
      <c r="C24" s="76" t="s">
        <v>95</v>
      </c>
      <c r="D24" s="75" t="s">
        <v>56</v>
      </c>
      <c r="E24" s="75">
        <v>1</v>
      </c>
      <c r="F24" s="78">
        <v>400000000</v>
      </c>
      <c r="G24" s="90">
        <v>400000000</v>
      </c>
    </row>
    <row r="25" spans="1:7" ht="15.75" x14ac:dyDescent="0.25">
      <c r="A25" s="89" t="s">
        <v>55</v>
      </c>
      <c r="B25" s="75" t="s">
        <v>96</v>
      </c>
      <c r="C25" s="76" t="s">
        <v>97</v>
      </c>
      <c r="D25" s="75" t="s">
        <v>56</v>
      </c>
      <c r="E25" s="75">
        <v>5</v>
      </c>
      <c r="F25" s="78">
        <v>60000000</v>
      </c>
      <c r="G25" s="90">
        <v>300000000</v>
      </c>
    </row>
    <row r="26" spans="1:7" ht="43.5" x14ac:dyDescent="0.25">
      <c r="A26" s="89" t="s">
        <v>55</v>
      </c>
      <c r="B26" s="75" t="s">
        <v>99</v>
      </c>
      <c r="C26" s="76" t="s">
        <v>100</v>
      </c>
      <c r="D26" s="75" t="s">
        <v>56</v>
      </c>
      <c r="E26" s="75">
        <v>25</v>
      </c>
      <c r="F26" s="78">
        <v>640000000</v>
      </c>
      <c r="G26" s="90">
        <v>16000000000</v>
      </c>
    </row>
    <row r="27" spans="1:7" ht="15.75" x14ac:dyDescent="0.25">
      <c r="A27" s="89" t="s">
        <v>55</v>
      </c>
      <c r="B27" s="75" t="s">
        <v>101</v>
      </c>
      <c r="C27" s="76" t="s">
        <v>102</v>
      </c>
      <c r="D27" s="75" t="s">
        <v>56</v>
      </c>
      <c r="E27" s="75">
        <v>25</v>
      </c>
      <c r="F27" s="78">
        <v>134577000</v>
      </c>
      <c r="G27" s="90">
        <v>3364425000</v>
      </c>
    </row>
    <row r="28" spans="1:7" ht="15.75" x14ac:dyDescent="0.25">
      <c r="A28" s="89" t="s">
        <v>55</v>
      </c>
      <c r="B28" s="75" t="s">
        <v>103</v>
      </c>
      <c r="C28" s="76" t="s">
        <v>104</v>
      </c>
      <c r="D28" s="75" t="s">
        <v>56</v>
      </c>
      <c r="E28" s="75">
        <v>25</v>
      </c>
      <c r="F28" s="78">
        <v>67288000</v>
      </c>
      <c r="G28" s="90">
        <v>1682200000</v>
      </c>
    </row>
    <row r="29" spans="1:7" ht="29.25" x14ac:dyDescent="0.25">
      <c r="A29" s="89" t="s">
        <v>55</v>
      </c>
      <c r="B29" s="75" t="s">
        <v>106</v>
      </c>
      <c r="C29" s="76" t="s">
        <v>107</v>
      </c>
      <c r="D29" s="75" t="s">
        <v>56</v>
      </c>
      <c r="E29" s="75">
        <v>120</v>
      </c>
      <c r="F29" s="78">
        <v>134577000</v>
      </c>
      <c r="G29" s="90">
        <v>16149240000</v>
      </c>
    </row>
    <row r="30" spans="1:7" ht="29.25" x14ac:dyDescent="0.25">
      <c r="A30" s="89" t="s">
        <v>55</v>
      </c>
      <c r="B30" s="75" t="s">
        <v>108</v>
      </c>
      <c r="C30" s="76" t="s">
        <v>109</v>
      </c>
      <c r="D30" s="75" t="s">
        <v>56</v>
      </c>
      <c r="E30" s="75">
        <v>30</v>
      </c>
      <c r="F30" s="78">
        <v>51920000</v>
      </c>
      <c r="G30" s="90">
        <v>1557600000</v>
      </c>
    </row>
    <row r="31" spans="1:7" ht="15.75" x14ac:dyDescent="0.25">
      <c r="A31" s="89" t="s">
        <v>55</v>
      </c>
      <c r="B31" s="75" t="s">
        <v>110</v>
      </c>
      <c r="C31" s="76" t="s">
        <v>111</v>
      </c>
      <c r="D31" s="75" t="s">
        <v>56</v>
      </c>
      <c r="E31" s="75">
        <v>120</v>
      </c>
      <c r="F31" s="78">
        <v>13458000</v>
      </c>
      <c r="G31" s="90">
        <v>1614960000</v>
      </c>
    </row>
    <row r="32" spans="1:7" ht="15.75" x14ac:dyDescent="0.25">
      <c r="A32" s="89" t="s">
        <v>55</v>
      </c>
      <c r="B32" s="75" t="s">
        <v>114</v>
      </c>
      <c r="C32" s="76" t="s">
        <v>115</v>
      </c>
      <c r="D32" s="75" t="s">
        <v>56</v>
      </c>
      <c r="E32" s="75">
        <v>37</v>
      </c>
      <c r="F32" s="78">
        <v>180000000</v>
      </c>
      <c r="G32" s="90">
        <v>6660000000</v>
      </c>
    </row>
    <row r="33" spans="1:7" ht="15.75" x14ac:dyDescent="0.25">
      <c r="A33" s="89" t="s">
        <v>55</v>
      </c>
      <c r="B33" s="75" t="s">
        <v>116</v>
      </c>
      <c r="C33" s="76" t="s">
        <v>117</v>
      </c>
      <c r="D33" s="75" t="s">
        <v>56</v>
      </c>
      <c r="E33" s="75">
        <v>37</v>
      </c>
      <c r="F33" s="78">
        <v>65000000</v>
      </c>
      <c r="G33" s="90">
        <v>2405000000</v>
      </c>
    </row>
    <row r="34" spans="1:7" ht="15.75" x14ac:dyDescent="0.25">
      <c r="A34" s="89" t="s">
        <v>55</v>
      </c>
      <c r="B34" s="75" t="s">
        <v>118</v>
      </c>
      <c r="C34" s="76" t="s">
        <v>119</v>
      </c>
      <c r="D34" s="75" t="s">
        <v>56</v>
      </c>
      <c r="E34" s="75">
        <v>37</v>
      </c>
      <c r="F34" s="78">
        <v>12000000</v>
      </c>
      <c r="G34" s="90">
        <v>444000000</v>
      </c>
    </row>
    <row r="35" spans="1:7" ht="15.75" x14ac:dyDescent="0.25">
      <c r="A35" s="89" t="s">
        <v>55</v>
      </c>
      <c r="B35" s="75" t="s">
        <v>120</v>
      </c>
      <c r="C35" s="76" t="s">
        <v>121</v>
      </c>
      <c r="D35" s="75" t="s">
        <v>56</v>
      </c>
      <c r="E35" s="75">
        <v>30</v>
      </c>
      <c r="F35" s="78">
        <v>35000000</v>
      </c>
      <c r="G35" s="90">
        <v>1050000000</v>
      </c>
    </row>
    <row r="36" spans="1:7" ht="15.75" x14ac:dyDescent="0.25">
      <c r="A36" s="89" t="s">
        <v>55</v>
      </c>
      <c r="B36" s="75" t="s">
        <v>122</v>
      </c>
      <c r="C36" s="76" t="s">
        <v>123</v>
      </c>
      <c r="D36" s="75" t="s">
        <v>56</v>
      </c>
      <c r="E36" s="75">
        <v>80</v>
      </c>
      <c r="F36" s="78">
        <v>6000000</v>
      </c>
      <c r="G36" s="90">
        <v>480000000</v>
      </c>
    </row>
    <row r="37" spans="1:7" ht="15.75" x14ac:dyDescent="0.25">
      <c r="A37" s="89" t="s">
        <v>55</v>
      </c>
      <c r="B37" s="75" t="s">
        <v>124</v>
      </c>
      <c r="C37" s="76" t="s">
        <v>125</v>
      </c>
      <c r="D37" s="75" t="s">
        <v>56</v>
      </c>
      <c r="E37" s="75">
        <v>1</v>
      </c>
      <c r="F37" s="78">
        <v>120000000</v>
      </c>
      <c r="G37" s="90">
        <v>120000000</v>
      </c>
    </row>
    <row r="38" spans="1:7" ht="15.75" x14ac:dyDescent="0.25">
      <c r="A38" s="89" t="s">
        <v>55</v>
      </c>
      <c r="B38" s="75" t="s">
        <v>135</v>
      </c>
      <c r="C38" s="76" t="s">
        <v>136</v>
      </c>
      <c r="D38" s="75" t="s">
        <v>56</v>
      </c>
      <c r="E38" s="75">
        <v>37</v>
      </c>
      <c r="F38" s="78">
        <v>20000000</v>
      </c>
      <c r="G38" s="90">
        <v>740000000</v>
      </c>
    </row>
    <row r="39" spans="1:7" ht="15.75" x14ac:dyDescent="0.25">
      <c r="A39" s="89" t="s">
        <v>55</v>
      </c>
      <c r="B39" s="75" t="s">
        <v>146</v>
      </c>
      <c r="C39" s="76" t="s">
        <v>147</v>
      </c>
      <c r="D39" s="75" t="s">
        <v>56</v>
      </c>
      <c r="E39" s="75">
        <v>1</v>
      </c>
      <c r="F39" s="78">
        <v>1774000000</v>
      </c>
      <c r="G39" s="90">
        <v>1774000000</v>
      </c>
    </row>
    <row r="40" spans="1:7" ht="29.25" x14ac:dyDescent="0.25">
      <c r="A40" s="89" t="s">
        <v>55</v>
      </c>
      <c r="B40" s="75" t="s">
        <v>148</v>
      </c>
      <c r="C40" s="76" t="s">
        <v>149</v>
      </c>
      <c r="D40" s="75" t="s">
        <v>56</v>
      </c>
      <c r="E40" s="75">
        <v>37</v>
      </c>
      <c r="F40" s="78">
        <v>50000000</v>
      </c>
      <c r="G40" s="90">
        <v>1850000000</v>
      </c>
    </row>
    <row r="41" spans="1:7" ht="29.25" x14ac:dyDescent="0.25">
      <c r="A41" s="89" t="s">
        <v>55</v>
      </c>
      <c r="B41" s="75" t="s">
        <v>151</v>
      </c>
      <c r="C41" s="76" t="s">
        <v>152</v>
      </c>
      <c r="D41" s="75" t="s">
        <v>56</v>
      </c>
      <c r="E41" s="75">
        <v>37</v>
      </c>
      <c r="F41" s="78">
        <v>45000000</v>
      </c>
      <c r="G41" s="90">
        <v>1665000000</v>
      </c>
    </row>
    <row r="42" spans="1:7" ht="29.25" x14ac:dyDescent="0.25">
      <c r="A42" s="89" t="s">
        <v>55</v>
      </c>
      <c r="B42" s="75" t="s">
        <v>153</v>
      </c>
      <c r="C42" s="76" t="s">
        <v>154</v>
      </c>
      <c r="D42" s="75" t="s">
        <v>56</v>
      </c>
      <c r="E42" s="75">
        <v>37</v>
      </c>
      <c r="F42" s="78">
        <v>8000000</v>
      </c>
      <c r="G42" s="90">
        <v>296000000</v>
      </c>
    </row>
    <row r="43" spans="1:7" ht="29.25" x14ac:dyDescent="0.25">
      <c r="A43" s="89" t="s">
        <v>55</v>
      </c>
      <c r="B43" s="75" t="s">
        <v>155</v>
      </c>
      <c r="C43" s="76" t="s">
        <v>156</v>
      </c>
      <c r="D43" s="75" t="s">
        <v>56</v>
      </c>
      <c r="E43" s="75">
        <v>30</v>
      </c>
      <c r="F43" s="78">
        <v>25000000</v>
      </c>
      <c r="G43" s="90">
        <v>750000000</v>
      </c>
    </row>
    <row r="44" spans="1:7" ht="29.25" x14ac:dyDescent="0.25">
      <c r="A44" s="89" t="s">
        <v>55</v>
      </c>
      <c r="B44" s="75" t="s">
        <v>157</v>
      </c>
      <c r="C44" s="76" t="s">
        <v>158</v>
      </c>
      <c r="D44" s="75" t="s">
        <v>56</v>
      </c>
      <c r="E44" s="75">
        <v>1</v>
      </c>
      <c r="F44" s="78">
        <v>80000000</v>
      </c>
      <c r="G44" s="90">
        <v>80000000</v>
      </c>
    </row>
    <row r="45" spans="1:7" ht="15.75" x14ac:dyDescent="0.25">
      <c r="A45" s="89" t="s">
        <v>55</v>
      </c>
      <c r="B45" s="75" t="s">
        <v>159</v>
      </c>
      <c r="C45" s="76" t="s">
        <v>160</v>
      </c>
      <c r="D45" s="75" t="s">
        <v>56</v>
      </c>
      <c r="E45" s="75">
        <v>37</v>
      </c>
      <c r="F45" s="78">
        <v>5000000</v>
      </c>
      <c r="G45" s="90">
        <v>185000000</v>
      </c>
    </row>
    <row r="46" spans="1:7" ht="15.75" x14ac:dyDescent="0.25">
      <c r="A46" s="89" t="s">
        <v>55</v>
      </c>
      <c r="B46" s="75" t="s">
        <v>161</v>
      </c>
      <c r="C46" s="76" t="s">
        <v>66</v>
      </c>
      <c r="D46" s="75" t="s">
        <v>56</v>
      </c>
      <c r="E46" s="75">
        <v>1</v>
      </c>
      <c r="F46" s="78">
        <v>150000000</v>
      </c>
      <c r="G46" s="90">
        <v>150000000</v>
      </c>
    </row>
    <row r="47" spans="1:7" ht="15.75" x14ac:dyDescent="0.25">
      <c r="A47" s="89" t="s">
        <v>55</v>
      </c>
      <c r="B47" s="75" t="s">
        <v>166</v>
      </c>
      <c r="C47" s="76" t="s">
        <v>147</v>
      </c>
      <c r="D47" s="75" t="s">
        <v>56</v>
      </c>
      <c r="E47" s="75">
        <v>1</v>
      </c>
      <c r="F47" s="78">
        <v>312000000</v>
      </c>
      <c r="G47" s="90">
        <v>312000000</v>
      </c>
    </row>
    <row r="48" spans="1:7" ht="29.25" x14ac:dyDescent="0.25">
      <c r="A48" s="89" t="s">
        <v>55</v>
      </c>
      <c r="B48" s="75" t="s">
        <v>168</v>
      </c>
      <c r="C48" s="76" t="s">
        <v>169</v>
      </c>
      <c r="D48" s="75" t="s">
        <v>170</v>
      </c>
      <c r="E48" s="75">
        <v>579</v>
      </c>
      <c r="F48" s="78">
        <v>9811013</v>
      </c>
      <c r="G48" s="90">
        <v>5680576527</v>
      </c>
    </row>
    <row r="49" spans="1:7" ht="15.75" x14ac:dyDescent="0.25">
      <c r="A49" s="89" t="s">
        <v>55</v>
      </c>
      <c r="B49" s="75" t="s">
        <v>173</v>
      </c>
      <c r="C49" s="76" t="s">
        <v>174</v>
      </c>
      <c r="D49" s="75" t="s">
        <v>175</v>
      </c>
      <c r="E49" s="75">
        <v>1448</v>
      </c>
      <c r="F49" s="78">
        <v>15845</v>
      </c>
      <c r="G49" s="90">
        <v>22943560</v>
      </c>
    </row>
    <row r="50" spans="1:7" ht="15.75" x14ac:dyDescent="0.25">
      <c r="A50" s="89" t="s">
        <v>55</v>
      </c>
      <c r="B50" s="75" t="s">
        <v>176</v>
      </c>
      <c r="C50" s="76" t="s">
        <v>177</v>
      </c>
      <c r="D50" s="75" t="s">
        <v>56</v>
      </c>
      <c r="E50" s="75">
        <v>1930</v>
      </c>
      <c r="F50" s="78">
        <v>1350000</v>
      </c>
      <c r="G50" s="90">
        <v>2605500000</v>
      </c>
    </row>
    <row r="51" spans="1:7" ht="15.75" x14ac:dyDescent="0.25">
      <c r="A51" s="89" t="s">
        <v>55</v>
      </c>
      <c r="B51" s="75" t="s">
        <v>178</v>
      </c>
      <c r="C51" s="76" t="s">
        <v>179</v>
      </c>
      <c r="D51" s="75" t="s">
        <v>56</v>
      </c>
      <c r="E51" s="75">
        <v>5790</v>
      </c>
      <c r="F51" s="78">
        <v>35000</v>
      </c>
      <c r="G51" s="90">
        <v>202650000</v>
      </c>
    </row>
    <row r="52" spans="1:7" ht="15.75" x14ac:dyDescent="0.25">
      <c r="A52" s="89" t="s">
        <v>55</v>
      </c>
      <c r="B52" s="75" t="s">
        <v>180</v>
      </c>
      <c r="C52" s="76" t="s">
        <v>181</v>
      </c>
      <c r="D52" s="75" t="s">
        <v>56</v>
      </c>
      <c r="E52" s="75">
        <v>2</v>
      </c>
      <c r="F52" s="78">
        <v>50000000</v>
      </c>
      <c r="G52" s="90">
        <v>100000000</v>
      </c>
    </row>
    <row r="53" spans="1:7" ht="15.75" x14ac:dyDescent="0.25">
      <c r="A53" s="89" t="s">
        <v>55</v>
      </c>
      <c r="B53" s="75" t="s">
        <v>182</v>
      </c>
      <c r="C53" s="76" t="s">
        <v>183</v>
      </c>
      <c r="D53" s="75" t="s">
        <v>56</v>
      </c>
      <c r="E53" s="75">
        <v>2</v>
      </c>
      <c r="F53" s="78">
        <v>90000000</v>
      </c>
      <c r="G53" s="90">
        <v>180000000</v>
      </c>
    </row>
    <row r="54" spans="1:7" ht="15.75" x14ac:dyDescent="0.25">
      <c r="A54" s="89" t="s">
        <v>55</v>
      </c>
      <c r="B54" s="75" t="s">
        <v>184</v>
      </c>
      <c r="C54" s="76" t="s">
        <v>185</v>
      </c>
      <c r="D54" s="75" t="s">
        <v>56</v>
      </c>
      <c r="E54" s="75">
        <v>6800</v>
      </c>
      <c r="F54" s="78">
        <v>25000</v>
      </c>
      <c r="G54" s="90">
        <v>170000000</v>
      </c>
    </row>
    <row r="55" spans="1:7" ht="15.75" x14ac:dyDescent="0.25">
      <c r="A55" s="89" t="s">
        <v>55</v>
      </c>
      <c r="B55" s="75" t="s">
        <v>186</v>
      </c>
      <c r="C55" s="76" t="s">
        <v>187</v>
      </c>
      <c r="D55" s="75" t="s">
        <v>56</v>
      </c>
      <c r="E55" s="75">
        <v>6200</v>
      </c>
      <c r="F55" s="78">
        <v>15000</v>
      </c>
      <c r="G55" s="90">
        <v>93000000</v>
      </c>
    </row>
    <row r="56" spans="1:7" ht="15.75" x14ac:dyDescent="0.25">
      <c r="A56" s="89" t="s">
        <v>55</v>
      </c>
      <c r="B56" s="75" t="s">
        <v>188</v>
      </c>
      <c r="C56" s="76" t="s">
        <v>189</v>
      </c>
      <c r="D56" s="75" t="s">
        <v>170</v>
      </c>
      <c r="E56" s="75">
        <v>16</v>
      </c>
      <c r="F56" s="78">
        <v>8000000</v>
      </c>
      <c r="G56" s="90">
        <v>128000000</v>
      </c>
    </row>
    <row r="57" spans="1:7" ht="43.5" x14ac:dyDescent="0.25">
      <c r="A57" s="89" t="s">
        <v>55</v>
      </c>
      <c r="B57" s="75" t="s">
        <v>190</v>
      </c>
      <c r="C57" s="76" t="s">
        <v>191</v>
      </c>
      <c r="D57" s="75" t="s">
        <v>192</v>
      </c>
      <c r="E57" s="75">
        <v>1</v>
      </c>
      <c r="F57" s="78">
        <v>1200000000</v>
      </c>
      <c r="G57" s="90">
        <v>1200000000</v>
      </c>
    </row>
    <row r="58" spans="1:7" ht="29.25" x14ac:dyDescent="0.25">
      <c r="A58" s="89" t="s">
        <v>55</v>
      </c>
      <c r="B58" s="75" t="s">
        <v>195</v>
      </c>
      <c r="C58" s="76" t="s">
        <v>196</v>
      </c>
      <c r="D58" s="75" t="s">
        <v>56</v>
      </c>
      <c r="E58" s="75">
        <v>73</v>
      </c>
      <c r="F58" s="78">
        <v>30000000</v>
      </c>
      <c r="G58" s="90">
        <v>2190000000</v>
      </c>
    </row>
    <row r="59" spans="1:7" ht="15.75" x14ac:dyDescent="0.25">
      <c r="A59" s="89" t="s">
        <v>55</v>
      </c>
      <c r="B59" s="75" t="s">
        <v>197</v>
      </c>
      <c r="C59" s="76" t="s">
        <v>198</v>
      </c>
      <c r="D59" s="75" t="s">
        <v>56</v>
      </c>
      <c r="E59" s="75">
        <v>12</v>
      </c>
      <c r="F59" s="78">
        <v>6000000</v>
      </c>
      <c r="G59" s="90">
        <v>72000000</v>
      </c>
    </row>
    <row r="60" spans="1:7" ht="15.75" x14ac:dyDescent="0.25">
      <c r="A60" s="89" t="s">
        <v>55</v>
      </c>
      <c r="B60" s="75" t="s">
        <v>199</v>
      </c>
      <c r="C60" s="76" t="s">
        <v>200</v>
      </c>
      <c r="D60" s="75" t="s">
        <v>56</v>
      </c>
      <c r="E60" s="75">
        <v>8</v>
      </c>
      <c r="F60" s="78">
        <v>10000000</v>
      </c>
      <c r="G60" s="90">
        <v>80000000</v>
      </c>
    </row>
    <row r="61" spans="1:7" ht="15.75" x14ac:dyDescent="0.25">
      <c r="A61" s="89" t="s">
        <v>55</v>
      </c>
      <c r="B61" s="75" t="s">
        <v>201</v>
      </c>
      <c r="C61" s="76" t="s">
        <v>202</v>
      </c>
      <c r="D61" s="75" t="s">
        <v>56</v>
      </c>
      <c r="E61" s="75">
        <v>5</v>
      </c>
      <c r="F61" s="78">
        <v>7000000</v>
      </c>
      <c r="G61" s="90">
        <v>35000000</v>
      </c>
    </row>
    <row r="62" spans="1:7" ht="15.75" x14ac:dyDescent="0.25">
      <c r="A62" s="89" t="s">
        <v>55</v>
      </c>
      <c r="B62" s="75" t="s">
        <v>203</v>
      </c>
      <c r="C62" s="76" t="s">
        <v>204</v>
      </c>
      <c r="D62" s="75" t="s">
        <v>56</v>
      </c>
      <c r="E62" s="75">
        <v>1</v>
      </c>
      <c r="F62" s="78">
        <v>150000000</v>
      </c>
      <c r="G62" s="90">
        <v>150000000</v>
      </c>
    </row>
    <row r="63" spans="1:7" ht="15.75" x14ac:dyDescent="0.25">
      <c r="A63" s="89" t="s">
        <v>55</v>
      </c>
      <c r="B63" s="75" t="s">
        <v>205</v>
      </c>
      <c r="C63" s="76" t="s">
        <v>206</v>
      </c>
      <c r="D63" s="75" t="s">
        <v>56</v>
      </c>
      <c r="E63" s="75">
        <v>2</v>
      </c>
      <c r="F63" s="78">
        <v>80000000</v>
      </c>
      <c r="G63" s="90">
        <v>160000000</v>
      </c>
    </row>
    <row r="64" spans="1:7" ht="15.75" x14ac:dyDescent="0.25">
      <c r="A64" s="89" t="s">
        <v>55</v>
      </c>
      <c r="B64" s="75" t="s">
        <v>207</v>
      </c>
      <c r="C64" s="76" t="s">
        <v>208</v>
      </c>
      <c r="D64" s="75" t="s">
        <v>56</v>
      </c>
      <c r="E64" s="75">
        <v>1</v>
      </c>
      <c r="F64" s="78">
        <v>120000000</v>
      </c>
      <c r="G64" s="90">
        <v>120000000</v>
      </c>
    </row>
    <row r="65" spans="1:7" ht="15.75" x14ac:dyDescent="0.25">
      <c r="A65" s="89" t="s">
        <v>55</v>
      </c>
      <c r="B65" s="75" t="s">
        <v>209</v>
      </c>
      <c r="C65" s="76" t="s">
        <v>210</v>
      </c>
      <c r="D65" s="75" t="s">
        <v>56</v>
      </c>
      <c r="E65" s="75">
        <v>8</v>
      </c>
      <c r="F65" s="78">
        <v>15000000</v>
      </c>
      <c r="G65" s="90">
        <v>120000000</v>
      </c>
    </row>
    <row r="66" spans="1:7" ht="15.75" x14ac:dyDescent="0.25">
      <c r="A66" s="89" t="s">
        <v>55</v>
      </c>
      <c r="B66" s="75" t="s">
        <v>213</v>
      </c>
      <c r="C66" s="76" t="s">
        <v>147</v>
      </c>
      <c r="D66" s="75" t="s">
        <v>56</v>
      </c>
      <c r="E66" s="75">
        <v>1</v>
      </c>
      <c r="F66" s="78">
        <v>307300000</v>
      </c>
      <c r="G66" s="90">
        <v>307300000</v>
      </c>
    </row>
    <row r="67" spans="1:7" ht="15.75" x14ac:dyDescent="0.25">
      <c r="A67" s="89" t="s">
        <v>55</v>
      </c>
      <c r="B67" s="75" t="s">
        <v>215</v>
      </c>
      <c r="C67" s="76" t="s">
        <v>216</v>
      </c>
      <c r="D67" s="75" t="s">
        <v>56</v>
      </c>
      <c r="E67" s="75">
        <v>100</v>
      </c>
      <c r="F67" s="78">
        <v>3000000</v>
      </c>
      <c r="G67" s="90">
        <v>300000000</v>
      </c>
    </row>
    <row r="68" spans="1:7" ht="15.75" x14ac:dyDescent="0.25">
      <c r="A68" s="89" t="s">
        <v>55</v>
      </c>
      <c r="B68" s="75" t="s">
        <v>217</v>
      </c>
      <c r="C68" s="76" t="s">
        <v>218</v>
      </c>
      <c r="D68" s="75" t="s">
        <v>56</v>
      </c>
      <c r="E68" s="75">
        <v>1000</v>
      </c>
      <c r="F68" s="78">
        <v>25000</v>
      </c>
      <c r="G68" s="90">
        <v>25000000</v>
      </c>
    </row>
    <row r="69" spans="1:7" ht="15.75" x14ac:dyDescent="0.25">
      <c r="A69" s="89" t="s">
        <v>55</v>
      </c>
      <c r="B69" s="75" t="s">
        <v>219</v>
      </c>
      <c r="C69" s="76" t="s">
        <v>220</v>
      </c>
      <c r="D69" s="75" t="s">
        <v>56</v>
      </c>
      <c r="E69" s="75">
        <v>5</v>
      </c>
      <c r="F69" s="78">
        <v>50000000</v>
      </c>
      <c r="G69" s="90">
        <v>250000000</v>
      </c>
    </row>
    <row r="70" spans="1:7" ht="15.75" x14ac:dyDescent="0.25">
      <c r="A70" s="89" t="s">
        <v>55</v>
      </c>
      <c r="B70" s="75" t="s">
        <v>221</v>
      </c>
      <c r="C70" s="76" t="s">
        <v>222</v>
      </c>
      <c r="D70" s="75" t="s">
        <v>56</v>
      </c>
      <c r="E70" s="75">
        <v>1</v>
      </c>
      <c r="F70" s="78">
        <v>80000000</v>
      </c>
      <c r="G70" s="90">
        <v>80000000</v>
      </c>
    </row>
    <row r="71" spans="1:7" ht="15.75" x14ac:dyDescent="0.25">
      <c r="A71" s="89" t="s">
        <v>55</v>
      </c>
      <c r="B71" s="75" t="s">
        <v>223</v>
      </c>
      <c r="C71" s="76" t="s">
        <v>224</v>
      </c>
      <c r="D71" s="75" t="s">
        <v>56</v>
      </c>
      <c r="E71" s="75">
        <v>50</v>
      </c>
      <c r="F71" s="78">
        <v>8000000</v>
      </c>
      <c r="G71" s="90">
        <v>400000000</v>
      </c>
    </row>
    <row r="72" spans="1:7" ht="15.75" x14ac:dyDescent="0.25">
      <c r="A72" s="89" t="s">
        <v>55</v>
      </c>
      <c r="B72" s="75" t="s">
        <v>225</v>
      </c>
      <c r="C72" s="76" t="s">
        <v>226</v>
      </c>
      <c r="D72" s="75" t="s">
        <v>56</v>
      </c>
      <c r="E72" s="75">
        <v>20</v>
      </c>
      <c r="F72" s="78">
        <v>15000000</v>
      </c>
      <c r="G72" s="90">
        <v>300000000</v>
      </c>
    </row>
    <row r="73" spans="1:7" ht="15.75" x14ac:dyDescent="0.25">
      <c r="A73" s="89" t="s">
        <v>55</v>
      </c>
      <c r="B73" s="75" t="s">
        <v>228</v>
      </c>
      <c r="C73" s="76" t="s">
        <v>147</v>
      </c>
      <c r="D73" s="75" t="s">
        <v>56</v>
      </c>
      <c r="E73" s="75">
        <v>1</v>
      </c>
      <c r="F73" s="78">
        <v>145500000</v>
      </c>
      <c r="G73" s="90">
        <v>145500000</v>
      </c>
    </row>
    <row r="74" spans="1:7" ht="15.75" x14ac:dyDescent="0.25">
      <c r="A74" s="89" t="s">
        <v>55</v>
      </c>
      <c r="B74" s="75" t="s">
        <v>230</v>
      </c>
      <c r="C74" s="76" t="s">
        <v>231</v>
      </c>
      <c r="D74" s="75" t="s">
        <v>56</v>
      </c>
      <c r="E74" s="75">
        <v>200</v>
      </c>
      <c r="F74" s="78">
        <v>150000</v>
      </c>
      <c r="G74" s="90">
        <v>30000000</v>
      </c>
    </row>
    <row r="75" spans="1:7" ht="15.75" x14ac:dyDescent="0.25">
      <c r="A75" s="89" t="s">
        <v>55</v>
      </c>
      <c r="B75" s="75" t="s">
        <v>232</v>
      </c>
      <c r="C75" s="76" t="s">
        <v>233</v>
      </c>
      <c r="D75" s="75" t="s">
        <v>56</v>
      </c>
      <c r="E75" s="75">
        <v>150</v>
      </c>
      <c r="F75" s="78">
        <v>200000</v>
      </c>
      <c r="G75" s="90">
        <v>30000000</v>
      </c>
    </row>
    <row r="76" spans="1:7" ht="15.75" x14ac:dyDescent="0.25">
      <c r="A76" s="89" t="s">
        <v>55</v>
      </c>
      <c r="B76" s="75" t="s">
        <v>234</v>
      </c>
      <c r="C76" s="76" t="s">
        <v>235</v>
      </c>
      <c r="D76" s="75" t="s">
        <v>56</v>
      </c>
      <c r="E76" s="75">
        <v>50</v>
      </c>
      <c r="F76" s="78">
        <v>800000</v>
      </c>
      <c r="G76" s="90">
        <v>40000000</v>
      </c>
    </row>
    <row r="77" spans="1:7" ht="15.75" x14ac:dyDescent="0.25">
      <c r="A77" s="89" t="s">
        <v>55</v>
      </c>
      <c r="B77" s="75" t="s">
        <v>236</v>
      </c>
      <c r="C77" s="76" t="s">
        <v>237</v>
      </c>
      <c r="D77" s="75" t="s">
        <v>56</v>
      </c>
      <c r="E77" s="75">
        <v>100</v>
      </c>
      <c r="F77" s="78">
        <v>500000</v>
      </c>
      <c r="G77" s="90">
        <v>50000000</v>
      </c>
    </row>
    <row r="78" spans="1:7" ht="15.75" x14ac:dyDescent="0.25">
      <c r="A78" s="89" t="s">
        <v>55</v>
      </c>
      <c r="B78" s="75" t="s">
        <v>238</v>
      </c>
      <c r="C78" s="76" t="s">
        <v>239</v>
      </c>
      <c r="D78" s="75" t="s">
        <v>56</v>
      </c>
      <c r="E78" s="75">
        <v>1</v>
      </c>
      <c r="F78" s="78">
        <v>120000000</v>
      </c>
      <c r="G78" s="90">
        <v>120000000</v>
      </c>
    </row>
    <row r="79" spans="1:7" ht="15.75" x14ac:dyDescent="0.25">
      <c r="A79" s="89" t="s">
        <v>55</v>
      </c>
      <c r="B79" s="75" t="s">
        <v>240</v>
      </c>
      <c r="C79" s="76" t="s">
        <v>241</v>
      </c>
      <c r="D79" s="75" t="s">
        <v>56</v>
      </c>
      <c r="E79" s="75">
        <v>30</v>
      </c>
      <c r="F79" s="78">
        <v>500000</v>
      </c>
      <c r="G79" s="90">
        <v>15000000</v>
      </c>
    </row>
    <row r="80" spans="1:7" ht="15.75" x14ac:dyDescent="0.25">
      <c r="A80" s="89" t="s">
        <v>55</v>
      </c>
      <c r="B80" s="75" t="s">
        <v>242</v>
      </c>
      <c r="C80" s="76" t="s">
        <v>243</v>
      </c>
      <c r="D80" s="75" t="s">
        <v>56</v>
      </c>
      <c r="E80" s="75">
        <v>1</v>
      </c>
      <c r="F80" s="78">
        <v>80000000</v>
      </c>
      <c r="G80" s="90">
        <v>80000000</v>
      </c>
    </row>
    <row r="81" spans="1:7" ht="15.75" x14ac:dyDescent="0.25">
      <c r="A81" s="89" t="s">
        <v>55</v>
      </c>
      <c r="B81" s="75" t="s">
        <v>244</v>
      </c>
      <c r="C81" s="76" t="s">
        <v>147</v>
      </c>
      <c r="D81" s="75" t="s">
        <v>56</v>
      </c>
      <c r="E81" s="75">
        <v>1</v>
      </c>
      <c r="F81" s="78">
        <v>36500000</v>
      </c>
      <c r="G81" s="90">
        <v>36500000</v>
      </c>
    </row>
    <row r="82" spans="1:7" ht="29.25" x14ac:dyDescent="0.25">
      <c r="A82" s="89" t="s">
        <v>55</v>
      </c>
      <c r="B82" s="75" t="s">
        <v>247</v>
      </c>
      <c r="C82" s="76" t="s">
        <v>248</v>
      </c>
      <c r="D82" s="75" t="s">
        <v>56</v>
      </c>
      <c r="E82" s="75">
        <v>9</v>
      </c>
      <c r="F82" s="78">
        <v>180000000</v>
      </c>
      <c r="G82" s="90">
        <v>1620000000</v>
      </c>
    </row>
    <row r="83" spans="1:7" ht="15.75" x14ac:dyDescent="0.25">
      <c r="A83" s="89" t="s">
        <v>55</v>
      </c>
      <c r="B83" s="75" t="s">
        <v>249</v>
      </c>
      <c r="C83" s="76" t="s">
        <v>250</v>
      </c>
      <c r="D83" s="75" t="s">
        <v>56</v>
      </c>
      <c r="E83" s="75">
        <v>9</v>
      </c>
      <c r="F83" s="78">
        <v>80000000</v>
      </c>
      <c r="G83" s="90">
        <v>720000000</v>
      </c>
    </row>
    <row r="84" spans="1:7" ht="29.25" x14ac:dyDescent="0.25">
      <c r="A84" s="89" t="s">
        <v>55</v>
      </c>
      <c r="B84" s="75" t="s">
        <v>251</v>
      </c>
      <c r="C84" s="76" t="s">
        <v>252</v>
      </c>
      <c r="D84" s="75" t="s">
        <v>56</v>
      </c>
      <c r="E84" s="75">
        <v>9</v>
      </c>
      <c r="F84" s="78">
        <v>360000000</v>
      </c>
      <c r="G84" s="90">
        <v>3240000000</v>
      </c>
    </row>
    <row r="85" spans="1:7" ht="15.75" x14ac:dyDescent="0.25">
      <c r="A85" s="89" t="s">
        <v>55</v>
      </c>
      <c r="B85" s="75" t="s">
        <v>253</v>
      </c>
      <c r="C85" s="76" t="s">
        <v>254</v>
      </c>
      <c r="D85" s="75" t="s">
        <v>56</v>
      </c>
      <c r="E85" s="75">
        <v>9</v>
      </c>
      <c r="F85" s="78">
        <v>60000000</v>
      </c>
      <c r="G85" s="90">
        <v>540000000</v>
      </c>
    </row>
    <row r="86" spans="1:7" ht="15.75" x14ac:dyDescent="0.25">
      <c r="A86" s="89" t="s">
        <v>55</v>
      </c>
      <c r="B86" s="75" t="s">
        <v>255</v>
      </c>
      <c r="C86" s="76" t="s">
        <v>256</v>
      </c>
      <c r="D86" s="75" t="s">
        <v>56</v>
      </c>
      <c r="E86" s="75">
        <v>9</v>
      </c>
      <c r="F86" s="78">
        <v>40000000</v>
      </c>
      <c r="G86" s="90">
        <v>360000000</v>
      </c>
    </row>
    <row r="87" spans="1:7" ht="15.75" x14ac:dyDescent="0.25">
      <c r="A87" s="89" t="s">
        <v>55</v>
      </c>
      <c r="B87" s="75" t="s">
        <v>258</v>
      </c>
      <c r="C87" s="76" t="s">
        <v>147</v>
      </c>
      <c r="D87" s="75" t="s">
        <v>56</v>
      </c>
      <c r="E87" s="75">
        <v>1</v>
      </c>
      <c r="F87" s="78">
        <v>828000000</v>
      </c>
      <c r="G87" s="90">
        <v>828000000</v>
      </c>
    </row>
    <row r="88" spans="1:7" ht="29.25" x14ac:dyDescent="0.25">
      <c r="A88" s="89" t="s">
        <v>55</v>
      </c>
      <c r="B88" s="75" t="s">
        <v>260</v>
      </c>
      <c r="C88" s="76" t="s">
        <v>261</v>
      </c>
      <c r="D88" s="75" t="s">
        <v>56</v>
      </c>
      <c r="E88" s="75">
        <v>15</v>
      </c>
      <c r="F88" s="78">
        <v>120000000</v>
      </c>
      <c r="G88" s="90">
        <v>1800000000</v>
      </c>
    </row>
    <row r="89" spans="1:7" ht="15.75" x14ac:dyDescent="0.25">
      <c r="A89" s="89" t="s">
        <v>55</v>
      </c>
      <c r="B89" s="75" t="s">
        <v>262</v>
      </c>
      <c r="C89" s="76" t="s">
        <v>263</v>
      </c>
      <c r="D89" s="75" t="s">
        <v>56</v>
      </c>
      <c r="E89" s="75">
        <v>15</v>
      </c>
      <c r="F89" s="78">
        <v>50000000</v>
      </c>
      <c r="G89" s="90">
        <v>750000000</v>
      </c>
    </row>
    <row r="90" spans="1:7" ht="15.75" x14ac:dyDescent="0.25">
      <c r="A90" s="89" t="s">
        <v>55</v>
      </c>
      <c r="B90" s="75" t="s">
        <v>264</v>
      </c>
      <c r="C90" s="76" t="s">
        <v>265</v>
      </c>
      <c r="D90" s="75" t="s">
        <v>56</v>
      </c>
      <c r="E90" s="75">
        <v>15</v>
      </c>
      <c r="F90" s="78">
        <v>80000000</v>
      </c>
      <c r="G90" s="90">
        <v>1200000000</v>
      </c>
    </row>
    <row r="91" spans="1:7" ht="15.75" x14ac:dyDescent="0.25">
      <c r="A91" s="89" t="s">
        <v>55</v>
      </c>
      <c r="B91" s="75" t="s">
        <v>266</v>
      </c>
      <c r="C91" s="76" t="s">
        <v>254</v>
      </c>
      <c r="D91" s="75" t="s">
        <v>56</v>
      </c>
      <c r="E91" s="75">
        <v>15</v>
      </c>
      <c r="F91" s="78">
        <v>40000000</v>
      </c>
      <c r="G91" s="90">
        <v>600000000</v>
      </c>
    </row>
    <row r="92" spans="1:7" ht="15.75" x14ac:dyDescent="0.25">
      <c r="A92" s="89" t="s">
        <v>55</v>
      </c>
      <c r="B92" s="75" t="s">
        <v>267</v>
      </c>
      <c r="C92" s="76" t="s">
        <v>243</v>
      </c>
      <c r="D92" s="75" t="s">
        <v>56</v>
      </c>
      <c r="E92" s="75">
        <v>15</v>
      </c>
      <c r="F92" s="78">
        <v>60000000</v>
      </c>
      <c r="G92" s="90">
        <v>900000000</v>
      </c>
    </row>
    <row r="93" spans="1:7" ht="15.75" x14ac:dyDescent="0.25">
      <c r="A93" s="89" t="s">
        <v>55</v>
      </c>
      <c r="B93" s="75" t="s">
        <v>268</v>
      </c>
      <c r="C93" s="76" t="s">
        <v>147</v>
      </c>
      <c r="D93" s="75" t="s">
        <v>56</v>
      </c>
      <c r="E93" s="75">
        <v>1</v>
      </c>
      <c r="F93" s="78">
        <v>525000000</v>
      </c>
      <c r="G93" s="90">
        <v>525000000</v>
      </c>
    </row>
    <row r="94" spans="1:7" ht="15.75" x14ac:dyDescent="0.25">
      <c r="A94" s="89" t="s">
        <v>55</v>
      </c>
      <c r="B94" s="75" t="s">
        <v>270</v>
      </c>
      <c r="C94" s="76" t="s">
        <v>271</v>
      </c>
      <c r="D94" s="75" t="s">
        <v>56</v>
      </c>
      <c r="E94" s="75">
        <v>122</v>
      </c>
      <c r="F94" s="78">
        <v>25000000</v>
      </c>
      <c r="G94" s="90">
        <v>3050000000</v>
      </c>
    </row>
    <row r="95" spans="1:7" ht="15.75" x14ac:dyDescent="0.25">
      <c r="A95" s="89" t="s">
        <v>55</v>
      </c>
      <c r="B95" s="75" t="s">
        <v>272</v>
      </c>
      <c r="C95" s="76" t="s">
        <v>147</v>
      </c>
      <c r="D95" s="75" t="s">
        <v>56</v>
      </c>
      <c r="E95" s="75">
        <v>1</v>
      </c>
      <c r="F95" s="78">
        <v>305000000</v>
      </c>
      <c r="G95" s="90">
        <v>305000000</v>
      </c>
    </row>
    <row r="96" spans="1:7" ht="15.75" x14ac:dyDescent="0.25">
      <c r="A96" s="89" t="s">
        <v>55</v>
      </c>
      <c r="B96" s="75" t="s">
        <v>275</v>
      </c>
      <c r="C96" s="76" t="s">
        <v>276</v>
      </c>
      <c r="D96" s="75" t="s">
        <v>56</v>
      </c>
      <c r="E96" s="75">
        <v>1</v>
      </c>
      <c r="F96" s="78">
        <v>2500000000</v>
      </c>
      <c r="G96" s="90">
        <v>2500000000</v>
      </c>
    </row>
    <row r="97" spans="1:7" ht="15.75" x14ac:dyDescent="0.25">
      <c r="A97" s="89" t="s">
        <v>55</v>
      </c>
      <c r="B97" s="75" t="s">
        <v>277</v>
      </c>
      <c r="C97" s="76" t="s">
        <v>278</v>
      </c>
      <c r="D97" s="75" t="s">
        <v>56</v>
      </c>
      <c r="E97" s="75">
        <v>1</v>
      </c>
      <c r="F97" s="78">
        <v>800000000</v>
      </c>
      <c r="G97" s="90">
        <v>800000000</v>
      </c>
    </row>
    <row r="98" spans="1:7" ht="15.75" x14ac:dyDescent="0.25">
      <c r="A98" s="89" t="s">
        <v>55</v>
      </c>
      <c r="B98" s="75" t="s">
        <v>279</v>
      </c>
      <c r="C98" s="76" t="s">
        <v>280</v>
      </c>
      <c r="D98" s="75" t="s">
        <v>56</v>
      </c>
      <c r="E98" s="75">
        <v>1</v>
      </c>
      <c r="F98" s="78">
        <v>300000000</v>
      </c>
      <c r="G98" s="90">
        <v>300000000</v>
      </c>
    </row>
    <row r="99" spans="1:7" ht="15.75" x14ac:dyDescent="0.25">
      <c r="A99" s="89" t="s">
        <v>55</v>
      </c>
      <c r="B99" s="75" t="s">
        <v>281</v>
      </c>
      <c r="C99" s="76" t="s">
        <v>282</v>
      </c>
      <c r="D99" s="75" t="s">
        <v>56</v>
      </c>
      <c r="E99" s="75">
        <v>1</v>
      </c>
      <c r="F99" s="78">
        <v>400000000</v>
      </c>
      <c r="G99" s="90">
        <v>400000000</v>
      </c>
    </row>
    <row r="100" spans="1:7" ht="15.75" x14ac:dyDescent="0.25">
      <c r="A100" s="89" t="s">
        <v>55</v>
      </c>
      <c r="B100" s="75" t="s">
        <v>283</v>
      </c>
      <c r="C100" s="76" t="s">
        <v>284</v>
      </c>
      <c r="D100" s="75" t="s">
        <v>56</v>
      </c>
      <c r="E100" s="75">
        <v>1</v>
      </c>
      <c r="F100" s="78">
        <v>200000000</v>
      </c>
      <c r="G100" s="90">
        <v>200000000</v>
      </c>
    </row>
    <row r="101" spans="1:7" ht="15.75" x14ac:dyDescent="0.25">
      <c r="A101" s="89" t="s">
        <v>55</v>
      </c>
      <c r="B101" s="75" t="s">
        <v>285</v>
      </c>
      <c r="C101" s="76" t="s">
        <v>286</v>
      </c>
      <c r="D101" s="75" t="s">
        <v>56</v>
      </c>
      <c r="E101" s="75">
        <v>1</v>
      </c>
      <c r="F101" s="78">
        <v>150000000</v>
      </c>
      <c r="G101" s="90">
        <v>150000000</v>
      </c>
    </row>
    <row r="102" spans="1:7" ht="15.75" x14ac:dyDescent="0.25">
      <c r="A102" s="89" t="s">
        <v>55</v>
      </c>
      <c r="B102" s="75" t="s">
        <v>288</v>
      </c>
      <c r="C102" s="76" t="s">
        <v>289</v>
      </c>
      <c r="D102" s="75" t="s">
        <v>56</v>
      </c>
      <c r="E102" s="75">
        <v>8</v>
      </c>
      <c r="F102" s="78">
        <v>120000000</v>
      </c>
      <c r="G102" s="90">
        <v>960000000</v>
      </c>
    </row>
    <row r="103" spans="1:7" ht="15.75" x14ac:dyDescent="0.25">
      <c r="A103" s="89" t="s">
        <v>55</v>
      </c>
      <c r="B103" s="75" t="s">
        <v>290</v>
      </c>
      <c r="C103" s="76" t="s">
        <v>291</v>
      </c>
      <c r="D103" s="75" t="s">
        <v>56</v>
      </c>
      <c r="E103" s="75">
        <v>16</v>
      </c>
      <c r="F103" s="78">
        <v>25000000</v>
      </c>
      <c r="G103" s="90">
        <v>400000000</v>
      </c>
    </row>
    <row r="104" spans="1:7" ht="15.75" x14ac:dyDescent="0.25">
      <c r="A104" s="89" t="s">
        <v>55</v>
      </c>
      <c r="B104" s="75" t="s">
        <v>292</v>
      </c>
      <c r="C104" s="76" t="s">
        <v>293</v>
      </c>
      <c r="D104" s="75" t="s">
        <v>56</v>
      </c>
      <c r="E104" s="75">
        <v>1</v>
      </c>
      <c r="F104" s="78">
        <v>80000000</v>
      </c>
      <c r="G104" s="90">
        <v>80000000</v>
      </c>
    </row>
    <row r="105" spans="1:7" ht="15.75" x14ac:dyDescent="0.25">
      <c r="A105" s="89" t="s">
        <v>55</v>
      </c>
      <c r="B105" s="75" t="s">
        <v>294</v>
      </c>
      <c r="C105" s="76" t="s">
        <v>295</v>
      </c>
      <c r="D105" s="75" t="s">
        <v>56</v>
      </c>
      <c r="E105" s="75">
        <v>1</v>
      </c>
      <c r="F105" s="78">
        <v>60000000</v>
      </c>
      <c r="G105" s="90">
        <v>60000000</v>
      </c>
    </row>
    <row r="106" spans="1:7" ht="15.75" x14ac:dyDescent="0.25">
      <c r="A106" s="89" t="s">
        <v>55</v>
      </c>
      <c r="B106" s="75" t="s">
        <v>296</v>
      </c>
      <c r="C106" s="76" t="s">
        <v>297</v>
      </c>
      <c r="D106" s="75" t="s">
        <v>56</v>
      </c>
      <c r="E106" s="75">
        <v>1</v>
      </c>
      <c r="F106" s="78">
        <v>100000000</v>
      </c>
      <c r="G106" s="90">
        <v>100000000</v>
      </c>
    </row>
    <row r="107" spans="1:7" ht="15.75" x14ac:dyDescent="0.25">
      <c r="A107" s="89" t="s">
        <v>55</v>
      </c>
      <c r="B107" s="75" t="s">
        <v>299</v>
      </c>
      <c r="C107" s="76" t="s">
        <v>300</v>
      </c>
      <c r="D107" s="75" t="s">
        <v>56</v>
      </c>
      <c r="E107" s="75">
        <v>2</v>
      </c>
      <c r="F107" s="78">
        <v>400000000</v>
      </c>
      <c r="G107" s="90">
        <v>800000000</v>
      </c>
    </row>
    <row r="108" spans="1:7" ht="15.75" x14ac:dyDescent="0.25">
      <c r="A108" s="89" t="s">
        <v>55</v>
      </c>
      <c r="B108" s="75" t="s">
        <v>301</v>
      </c>
      <c r="C108" s="76" t="s">
        <v>302</v>
      </c>
      <c r="D108" s="75" t="s">
        <v>56</v>
      </c>
      <c r="E108" s="75">
        <v>1</v>
      </c>
      <c r="F108" s="78">
        <v>5000000000</v>
      </c>
      <c r="G108" s="90">
        <v>5000000000</v>
      </c>
    </row>
    <row r="109" spans="1:7" ht="15.75" x14ac:dyDescent="0.25">
      <c r="A109" s="89" t="s">
        <v>55</v>
      </c>
      <c r="B109" s="75" t="s">
        <v>303</v>
      </c>
      <c r="C109" s="76" t="s">
        <v>304</v>
      </c>
      <c r="D109" s="75" t="s">
        <v>56</v>
      </c>
      <c r="E109" s="75">
        <v>1</v>
      </c>
      <c r="F109" s="78">
        <v>150000000</v>
      </c>
      <c r="G109" s="90">
        <v>150000000</v>
      </c>
    </row>
    <row r="110" spans="1:7" ht="15.75" x14ac:dyDescent="0.25">
      <c r="A110" s="89" t="s">
        <v>55</v>
      </c>
      <c r="B110" s="75" t="s">
        <v>305</v>
      </c>
      <c r="C110" s="76" t="s">
        <v>68</v>
      </c>
      <c r="D110" s="75" t="s">
        <v>56</v>
      </c>
      <c r="E110" s="97">
        <v>1</v>
      </c>
      <c r="F110" s="78">
        <v>4112000000</v>
      </c>
      <c r="G110" s="90">
        <v>4112000000</v>
      </c>
    </row>
    <row r="111" spans="1:7" ht="15.75" x14ac:dyDescent="0.25">
      <c r="A111" s="89" t="s">
        <v>55</v>
      </c>
      <c r="B111" s="75" t="s">
        <v>306</v>
      </c>
      <c r="C111" s="76" t="s">
        <v>66</v>
      </c>
      <c r="D111" s="75" t="s">
        <v>56</v>
      </c>
      <c r="E111" s="77">
        <v>1</v>
      </c>
      <c r="F111" s="78">
        <v>300000000</v>
      </c>
      <c r="G111" s="90">
        <v>300000000</v>
      </c>
    </row>
    <row r="112" spans="1:7" ht="15.75" x14ac:dyDescent="0.25">
      <c r="A112" s="89" t="s">
        <v>55</v>
      </c>
      <c r="B112" s="75" t="s">
        <v>311</v>
      </c>
      <c r="C112" s="76" t="s">
        <v>312</v>
      </c>
      <c r="D112" s="75" t="s">
        <v>56</v>
      </c>
      <c r="E112" s="77">
        <v>15</v>
      </c>
      <c r="F112" s="78">
        <v>400000000</v>
      </c>
      <c r="G112" s="90">
        <v>6000000000</v>
      </c>
    </row>
    <row r="113" spans="1:7" ht="15.75" x14ac:dyDescent="0.25">
      <c r="A113" s="89" t="s">
        <v>55</v>
      </c>
      <c r="B113" s="75" t="s">
        <v>313</v>
      </c>
      <c r="C113" s="76" t="s">
        <v>314</v>
      </c>
      <c r="D113" s="75" t="s">
        <v>56</v>
      </c>
      <c r="E113" s="77">
        <v>30</v>
      </c>
      <c r="F113" s="78">
        <v>35000000</v>
      </c>
      <c r="G113" s="90">
        <v>1050000000</v>
      </c>
    </row>
    <row r="114" spans="1:7" ht="29.25" x14ac:dyDescent="0.25">
      <c r="A114" s="89" t="s">
        <v>55</v>
      </c>
      <c r="B114" s="75" t="s">
        <v>315</v>
      </c>
      <c r="C114" s="76" t="s">
        <v>316</v>
      </c>
      <c r="D114" s="75" t="s">
        <v>56</v>
      </c>
      <c r="E114" s="97">
        <v>30</v>
      </c>
      <c r="F114" s="78">
        <v>25000000</v>
      </c>
      <c r="G114" s="90">
        <v>750000000</v>
      </c>
    </row>
    <row r="115" spans="1:7" ht="15.75" x14ac:dyDescent="0.25">
      <c r="A115" s="89" t="s">
        <v>55</v>
      </c>
      <c r="B115" s="75" t="s">
        <v>317</v>
      </c>
      <c r="C115" s="76" t="s">
        <v>318</v>
      </c>
      <c r="D115" s="75" t="s">
        <v>56</v>
      </c>
      <c r="E115" s="77">
        <v>15</v>
      </c>
      <c r="F115" s="78">
        <v>35000000</v>
      </c>
      <c r="G115" s="90">
        <v>525000000</v>
      </c>
    </row>
    <row r="116" spans="1:7" ht="15.75" x14ac:dyDescent="0.25">
      <c r="A116" s="89" t="s">
        <v>55</v>
      </c>
      <c r="B116" s="75" t="s">
        <v>319</v>
      </c>
      <c r="C116" s="76" t="s">
        <v>320</v>
      </c>
      <c r="D116" s="75" t="s">
        <v>56</v>
      </c>
      <c r="E116" s="77">
        <v>15</v>
      </c>
      <c r="F116" s="78">
        <v>80000000</v>
      </c>
      <c r="G116" s="90">
        <v>1200000000</v>
      </c>
    </row>
    <row r="117" spans="1:7" ht="15.75" x14ac:dyDescent="0.25">
      <c r="A117" s="89" t="s">
        <v>55</v>
      </c>
      <c r="B117" s="75" t="s">
        <v>322</v>
      </c>
      <c r="C117" s="76" t="s">
        <v>147</v>
      </c>
      <c r="D117" s="75" t="s">
        <v>56</v>
      </c>
      <c r="E117" s="77">
        <v>1</v>
      </c>
      <c r="F117" s="78">
        <v>1102500000</v>
      </c>
      <c r="G117" s="90">
        <v>1102500000</v>
      </c>
    </row>
    <row r="118" spans="1:7" ht="15.75" x14ac:dyDescent="0.25">
      <c r="A118" s="89" t="s">
        <v>55</v>
      </c>
      <c r="B118" s="75" t="s">
        <v>324</v>
      </c>
      <c r="C118" s="76" t="s">
        <v>325</v>
      </c>
      <c r="D118" s="75" t="s">
        <v>56</v>
      </c>
      <c r="E118" s="77">
        <v>15</v>
      </c>
      <c r="F118" s="78">
        <v>25000000</v>
      </c>
      <c r="G118" s="90">
        <v>375000000</v>
      </c>
    </row>
    <row r="119" spans="1:7" ht="15.75" x14ac:dyDescent="0.25">
      <c r="A119" s="89" t="s">
        <v>55</v>
      </c>
      <c r="B119" s="75" t="s">
        <v>326</v>
      </c>
      <c r="C119" s="76" t="s">
        <v>327</v>
      </c>
      <c r="D119" s="75" t="s">
        <v>56</v>
      </c>
      <c r="E119" s="77">
        <v>2</v>
      </c>
      <c r="F119" s="78">
        <v>25000000</v>
      </c>
      <c r="G119" s="90">
        <v>50000000</v>
      </c>
    </row>
    <row r="120" spans="1:7" ht="16.5" thickBot="1" x14ac:dyDescent="0.3">
      <c r="A120" s="91" t="s">
        <v>55</v>
      </c>
      <c r="B120" s="92" t="s">
        <v>328</v>
      </c>
      <c r="C120" s="93" t="s">
        <v>329</v>
      </c>
      <c r="D120" s="92" t="s">
        <v>56</v>
      </c>
      <c r="E120" s="94">
        <v>15</v>
      </c>
      <c r="F120" s="95">
        <v>5000000</v>
      </c>
      <c r="G120" s="96">
        <v>75000000</v>
      </c>
    </row>
    <row r="121" spans="1:7" ht="16.5" thickBot="1" x14ac:dyDescent="0.3">
      <c r="A121" s="80" t="s">
        <v>3</v>
      </c>
      <c r="B121" s="80" t="s">
        <v>3</v>
      </c>
      <c r="C121" s="81" t="s">
        <v>354</v>
      </c>
      <c r="D121" s="80" t="s">
        <v>3</v>
      </c>
      <c r="E121" s="99"/>
      <c r="F121" s="82" t="s">
        <v>3</v>
      </c>
      <c r="G121" s="82">
        <v>148755895087</v>
      </c>
    </row>
    <row r="122" spans="1:7" ht="15.75" x14ac:dyDescent="0.25">
      <c r="A122" s="83"/>
      <c r="B122" s="84"/>
      <c r="C122" s="85"/>
      <c r="D122" s="84"/>
      <c r="E122" s="86"/>
      <c r="F122" s="100"/>
      <c r="G122" s="101"/>
    </row>
    <row r="123" spans="1:7" ht="15.75" x14ac:dyDescent="0.25">
      <c r="A123" s="89" t="s">
        <v>128</v>
      </c>
      <c r="B123" s="75" t="s">
        <v>126</v>
      </c>
      <c r="C123" s="76" t="s">
        <v>127</v>
      </c>
      <c r="D123" s="75" t="s">
        <v>56</v>
      </c>
      <c r="E123" s="77">
        <v>37</v>
      </c>
      <c r="F123" s="78">
        <v>65000000</v>
      </c>
      <c r="G123" s="90">
        <v>2405000000</v>
      </c>
    </row>
    <row r="124" spans="1:7" ht="15.75" x14ac:dyDescent="0.25">
      <c r="A124" s="89" t="s">
        <v>128</v>
      </c>
      <c r="B124" s="75" t="s">
        <v>129</v>
      </c>
      <c r="C124" s="76" t="s">
        <v>130</v>
      </c>
      <c r="D124" s="75" t="s">
        <v>56</v>
      </c>
      <c r="E124" s="77">
        <v>37</v>
      </c>
      <c r="F124" s="78">
        <v>25000000</v>
      </c>
      <c r="G124" s="90">
        <v>925000000</v>
      </c>
    </row>
    <row r="125" spans="1:7" ht="15.75" x14ac:dyDescent="0.25">
      <c r="A125" s="89" t="s">
        <v>128</v>
      </c>
      <c r="B125" s="75" t="s">
        <v>131</v>
      </c>
      <c r="C125" s="76" t="s">
        <v>132</v>
      </c>
      <c r="D125" s="75" t="s">
        <v>56</v>
      </c>
      <c r="E125" s="77">
        <v>37</v>
      </c>
      <c r="F125" s="78">
        <v>30000000</v>
      </c>
      <c r="G125" s="90">
        <v>1110000000</v>
      </c>
    </row>
    <row r="126" spans="1:7" ht="15.75" x14ac:dyDescent="0.25">
      <c r="A126" s="89" t="s">
        <v>128</v>
      </c>
      <c r="B126" s="75" t="s">
        <v>133</v>
      </c>
      <c r="C126" s="76" t="s">
        <v>134</v>
      </c>
      <c r="D126" s="75" t="s">
        <v>56</v>
      </c>
      <c r="E126" s="77">
        <v>37</v>
      </c>
      <c r="F126" s="78">
        <v>25000000</v>
      </c>
      <c r="G126" s="90">
        <v>925000000</v>
      </c>
    </row>
    <row r="127" spans="1:7" ht="15.75" x14ac:dyDescent="0.25">
      <c r="A127" s="89" t="s">
        <v>128</v>
      </c>
      <c r="B127" s="75" t="s">
        <v>137</v>
      </c>
      <c r="C127" s="76" t="s">
        <v>138</v>
      </c>
      <c r="D127" s="75" t="s">
        <v>56</v>
      </c>
      <c r="E127" s="77">
        <v>37</v>
      </c>
      <c r="F127" s="78">
        <v>15000000</v>
      </c>
      <c r="G127" s="90">
        <v>555000000</v>
      </c>
    </row>
    <row r="128" spans="1:7" ht="30" thickBot="1" x14ac:dyDescent="0.3">
      <c r="A128" s="91" t="s">
        <v>128</v>
      </c>
      <c r="B128" s="92" t="s">
        <v>171</v>
      </c>
      <c r="C128" s="93" t="s">
        <v>172</v>
      </c>
      <c r="D128" s="92" t="s">
        <v>170</v>
      </c>
      <c r="E128" s="94">
        <v>579</v>
      </c>
      <c r="F128" s="95">
        <v>90188987</v>
      </c>
      <c r="G128" s="96">
        <v>52219423473</v>
      </c>
    </row>
    <row r="129" spans="1:7" ht="16.5" thickBot="1" x14ac:dyDescent="0.3">
      <c r="A129" s="80" t="s">
        <v>3</v>
      </c>
      <c r="B129" s="80" t="s">
        <v>3</v>
      </c>
      <c r="C129" s="81" t="s">
        <v>355</v>
      </c>
      <c r="D129" s="80" t="s">
        <v>3</v>
      </c>
      <c r="E129" s="99" t="s">
        <v>3</v>
      </c>
      <c r="F129" s="82" t="s">
        <v>3</v>
      </c>
      <c r="G129" s="82">
        <v>58139423473</v>
      </c>
    </row>
    <row r="130" spans="1:7" ht="15.75" x14ac:dyDescent="0.25">
      <c r="A130" s="83"/>
      <c r="B130" s="84"/>
      <c r="C130" s="85"/>
      <c r="D130" s="84"/>
      <c r="E130" s="86"/>
      <c r="F130" s="87"/>
      <c r="G130" s="88"/>
    </row>
    <row r="131" spans="1:7" ht="15.75" x14ac:dyDescent="0.25">
      <c r="A131" s="89" t="s">
        <v>141</v>
      </c>
      <c r="B131" s="75" t="s">
        <v>139</v>
      </c>
      <c r="C131" s="76" t="s">
        <v>140</v>
      </c>
      <c r="D131" s="75" t="s">
        <v>56</v>
      </c>
      <c r="E131" s="77">
        <v>1</v>
      </c>
      <c r="F131" s="78">
        <v>200000000</v>
      </c>
      <c r="G131" s="90">
        <v>200000000</v>
      </c>
    </row>
    <row r="132" spans="1:7" ht="15.75" x14ac:dyDescent="0.25">
      <c r="A132" s="89" t="s">
        <v>141</v>
      </c>
      <c r="B132" s="75" t="s">
        <v>142</v>
      </c>
      <c r="C132" s="76" t="s">
        <v>143</v>
      </c>
      <c r="D132" s="75" t="s">
        <v>56</v>
      </c>
      <c r="E132" s="77">
        <v>1</v>
      </c>
      <c r="F132" s="78">
        <v>150000000</v>
      </c>
      <c r="G132" s="90">
        <v>150000000</v>
      </c>
    </row>
    <row r="133" spans="1:7" ht="15.75" x14ac:dyDescent="0.25">
      <c r="A133" s="89" t="s">
        <v>141</v>
      </c>
      <c r="B133" s="75" t="s">
        <v>144</v>
      </c>
      <c r="C133" s="76" t="s">
        <v>145</v>
      </c>
      <c r="D133" s="75" t="s">
        <v>56</v>
      </c>
      <c r="E133" s="77">
        <v>1</v>
      </c>
      <c r="F133" s="78">
        <v>100000000</v>
      </c>
      <c r="G133" s="90">
        <v>100000000</v>
      </c>
    </row>
    <row r="134" spans="1:7" ht="15.75" x14ac:dyDescent="0.25">
      <c r="A134" s="89" t="s">
        <v>141</v>
      </c>
      <c r="B134" s="75" t="s">
        <v>162</v>
      </c>
      <c r="C134" s="76" t="s">
        <v>163</v>
      </c>
      <c r="D134" s="75" t="s">
        <v>56</v>
      </c>
      <c r="E134" s="77">
        <v>1</v>
      </c>
      <c r="F134" s="78">
        <v>100000000</v>
      </c>
      <c r="G134" s="90">
        <v>100000000</v>
      </c>
    </row>
    <row r="135" spans="1:7" ht="15.75" x14ac:dyDescent="0.25">
      <c r="A135" s="89" t="s">
        <v>141</v>
      </c>
      <c r="B135" s="75" t="s">
        <v>164</v>
      </c>
      <c r="C135" s="76" t="s">
        <v>165</v>
      </c>
      <c r="D135" s="75" t="s">
        <v>56</v>
      </c>
      <c r="E135" s="77">
        <v>1</v>
      </c>
      <c r="F135" s="78">
        <v>80000000</v>
      </c>
      <c r="G135" s="90">
        <v>80000000</v>
      </c>
    </row>
    <row r="136" spans="1:7" ht="15.75" x14ac:dyDescent="0.25">
      <c r="A136" s="89" t="s">
        <v>141</v>
      </c>
      <c r="B136" s="75" t="s">
        <v>211</v>
      </c>
      <c r="C136" s="76" t="s">
        <v>212</v>
      </c>
      <c r="D136" s="75" t="s">
        <v>56</v>
      </c>
      <c r="E136" s="77">
        <v>73</v>
      </c>
      <c r="F136" s="78">
        <v>2000000</v>
      </c>
      <c r="G136" s="90">
        <v>146000000</v>
      </c>
    </row>
    <row r="137" spans="1:7" ht="15.75" x14ac:dyDescent="0.25">
      <c r="A137" s="89" t="s">
        <v>141</v>
      </c>
      <c r="B137" s="75" t="s">
        <v>227</v>
      </c>
      <c r="C137" s="76" t="s">
        <v>212</v>
      </c>
      <c r="D137" s="75" t="s">
        <v>56</v>
      </c>
      <c r="E137" s="77">
        <v>1</v>
      </c>
      <c r="F137" s="78">
        <v>100000000</v>
      </c>
      <c r="G137" s="90">
        <v>100000000</v>
      </c>
    </row>
    <row r="138" spans="1:7" ht="15.75" x14ac:dyDescent="0.25">
      <c r="A138" s="89" t="s">
        <v>141</v>
      </c>
      <c r="B138" s="75" t="s">
        <v>257</v>
      </c>
      <c r="C138" s="76" t="s">
        <v>212</v>
      </c>
      <c r="D138" s="75" t="s">
        <v>56</v>
      </c>
      <c r="E138" s="77">
        <v>9</v>
      </c>
      <c r="F138" s="78">
        <v>200000000</v>
      </c>
      <c r="G138" s="90">
        <v>1800000000</v>
      </c>
    </row>
    <row r="139" spans="1:7" ht="15.75" x14ac:dyDescent="0.25">
      <c r="A139" s="89" t="s">
        <v>141</v>
      </c>
      <c r="B139" s="75" t="s">
        <v>307</v>
      </c>
      <c r="C139" s="76" t="s">
        <v>308</v>
      </c>
      <c r="D139" s="75" t="s">
        <v>56</v>
      </c>
      <c r="E139" s="77">
        <v>1</v>
      </c>
      <c r="F139" s="78">
        <v>100000000</v>
      </c>
      <c r="G139" s="90">
        <v>100000000</v>
      </c>
    </row>
    <row r="140" spans="1:7" ht="15.75" x14ac:dyDescent="0.25">
      <c r="A140" s="89" t="s">
        <v>141</v>
      </c>
      <c r="B140" s="75" t="s">
        <v>321</v>
      </c>
      <c r="C140" s="76" t="s">
        <v>212</v>
      </c>
      <c r="D140" s="75" t="s">
        <v>56</v>
      </c>
      <c r="E140" s="77">
        <v>15</v>
      </c>
      <c r="F140" s="78">
        <v>100000000</v>
      </c>
      <c r="G140" s="90">
        <v>1500000000</v>
      </c>
    </row>
    <row r="141" spans="1:7" ht="16.5" thickBot="1" x14ac:dyDescent="0.3">
      <c r="A141" s="91" t="s">
        <v>141</v>
      </c>
      <c r="B141" s="92" t="s">
        <v>330</v>
      </c>
      <c r="C141" s="93" t="s">
        <v>331</v>
      </c>
      <c r="D141" s="92" t="s">
        <v>56</v>
      </c>
      <c r="E141" s="94">
        <v>1</v>
      </c>
      <c r="F141" s="95">
        <v>20000000</v>
      </c>
      <c r="G141" s="96">
        <v>20000000</v>
      </c>
    </row>
    <row r="142" spans="1:7" ht="15.75" x14ac:dyDescent="0.25">
      <c r="A142" s="80" t="s">
        <v>3</v>
      </c>
      <c r="B142" s="80" t="s">
        <v>3</v>
      </c>
      <c r="C142" s="81" t="s">
        <v>356</v>
      </c>
      <c r="D142" s="80" t="s">
        <v>3</v>
      </c>
      <c r="E142" s="80" t="s">
        <v>3</v>
      </c>
      <c r="F142" s="82" t="s">
        <v>3</v>
      </c>
      <c r="G142" s="82">
        <v>4296000000</v>
      </c>
    </row>
    <row r="143" spans="1:7" ht="16.5" thickBot="1" x14ac:dyDescent="0.3">
      <c r="A143" s="19"/>
      <c r="B143" s="19"/>
      <c r="C143" s="19"/>
      <c r="D143" s="19"/>
      <c r="E143" s="19"/>
      <c r="F143" s="186"/>
      <c r="G143" s="186"/>
    </row>
    <row r="144" spans="1:7" ht="15.75" x14ac:dyDescent="0.25">
      <c r="A144" s="187" t="s">
        <v>3</v>
      </c>
      <c r="B144" s="188" t="s">
        <v>3</v>
      </c>
      <c r="C144" s="188" t="s">
        <v>357</v>
      </c>
      <c r="D144" s="188" t="s">
        <v>3</v>
      </c>
      <c r="E144" s="188" t="s">
        <v>3</v>
      </c>
      <c r="F144" s="189" t="s">
        <v>3</v>
      </c>
      <c r="G144" s="190">
        <v>211191318560</v>
      </c>
    </row>
    <row r="145" spans="1:7" ht="15.75" x14ac:dyDescent="0.25">
      <c r="A145" s="191" t="s">
        <v>3</v>
      </c>
      <c r="B145" s="33" t="s">
        <v>3</v>
      </c>
      <c r="C145" s="33" t="s">
        <v>358</v>
      </c>
      <c r="D145" s="33" t="s">
        <v>3</v>
      </c>
      <c r="E145" s="33" t="s">
        <v>3</v>
      </c>
      <c r="F145" s="34" t="s">
        <v>3</v>
      </c>
      <c r="G145" s="192">
        <v>19186009747</v>
      </c>
    </row>
    <row r="146" spans="1:7" ht="15.75" x14ac:dyDescent="0.25">
      <c r="A146" s="193" t="s">
        <v>3</v>
      </c>
      <c r="B146" s="8" t="s">
        <v>3</v>
      </c>
      <c r="C146" s="8" t="s">
        <v>7</v>
      </c>
      <c r="D146" s="8" t="s">
        <v>3</v>
      </c>
      <c r="E146" s="8" t="s">
        <v>3</v>
      </c>
      <c r="F146" s="35" t="s">
        <v>3</v>
      </c>
      <c r="G146" s="194">
        <v>29632184590</v>
      </c>
    </row>
    <row r="147" spans="1:7" ht="16.5" thickBot="1" x14ac:dyDescent="0.3">
      <c r="A147" s="195" t="s">
        <v>3</v>
      </c>
      <c r="B147" s="196" t="s">
        <v>3</v>
      </c>
      <c r="C147" s="196" t="s">
        <v>359</v>
      </c>
      <c r="D147" s="196" t="s">
        <v>3</v>
      </c>
      <c r="E147" s="196" t="s">
        <v>3</v>
      </c>
      <c r="F147" s="197" t="s">
        <v>3</v>
      </c>
      <c r="G147" s="198">
        <v>260009512897</v>
      </c>
    </row>
    <row r="148" spans="1:7" ht="15.75" x14ac:dyDescent="0.25"/>
  </sheetData>
  <mergeCells count="2">
    <mergeCell ref="A1:G1"/>
    <mergeCell ref="A2:G2"/>
  </mergeCells>
  <pageMargins left="0.5" right="0.5" top="0.5" bottom="0.5" header="0.25" footer="0.25"/>
  <pageSetup paperSize="9" orientation="landscape" r:id="rId1"/>
  <ignoredErrors>
    <ignoredError sqref="A3:G3 A1 A2 A143:G147"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12"/>
  <sheetViews>
    <sheetView topLeftCell="D1" workbookViewId="0">
      <pane ySplit="4" topLeftCell="A5" activePane="bottomLeft" state="frozen"/>
      <selection pane="bottomLeft" sqref="A1:L1"/>
    </sheetView>
  </sheetViews>
  <sheetFormatPr baseColWidth="10" defaultRowHeight="15" x14ac:dyDescent="0.25"/>
  <cols>
    <col min="1" max="1" width="4.625" bestFit="1" customWidth="1"/>
    <col min="2" max="2" width="33.375" customWidth="1"/>
    <col min="3" max="3" width="23.5" customWidth="1"/>
    <col min="4" max="4" width="18.75" bestFit="1" customWidth="1"/>
    <col min="5" max="5" width="17.75" bestFit="1" customWidth="1"/>
    <col min="6" max="6" width="19.125" customWidth="1"/>
    <col min="7" max="8" width="18.75" bestFit="1" customWidth="1"/>
    <col min="9" max="9" width="19.125" customWidth="1"/>
    <col min="10" max="10" width="16.25" bestFit="1" customWidth="1"/>
    <col min="11" max="11" width="18.75" bestFit="1" customWidth="1"/>
    <col min="12" max="12" width="23.125" customWidth="1"/>
  </cols>
  <sheetData>
    <row r="1" spans="1:12" ht="30" customHeight="1" x14ac:dyDescent="0.25">
      <c r="A1" s="15" t="s">
        <v>360</v>
      </c>
      <c r="B1" s="6"/>
      <c r="C1" s="6"/>
      <c r="D1" s="6"/>
      <c r="E1" s="6"/>
      <c r="F1" s="6"/>
      <c r="G1" s="6"/>
      <c r="H1" s="6"/>
      <c r="I1" s="6"/>
      <c r="J1" s="6"/>
      <c r="K1" s="6"/>
      <c r="L1" s="6"/>
    </row>
    <row r="2" spans="1:12" ht="15.75" x14ac:dyDescent="0.25">
      <c r="A2" s="16" t="s">
        <v>361</v>
      </c>
      <c r="B2" s="14"/>
      <c r="C2" s="14"/>
      <c r="D2" s="14"/>
      <c r="E2" s="14"/>
      <c r="F2" s="14"/>
      <c r="G2" s="14"/>
      <c r="H2" s="14"/>
      <c r="I2" s="14"/>
      <c r="J2" s="14"/>
      <c r="K2" s="14"/>
      <c r="L2" s="14"/>
    </row>
    <row r="3" spans="1:12" ht="15.75" x14ac:dyDescent="0.25">
      <c r="A3" s="5"/>
      <c r="B3" s="5"/>
      <c r="C3" s="5"/>
      <c r="D3" s="5"/>
      <c r="E3" s="5"/>
      <c r="F3" s="5"/>
      <c r="G3" s="5"/>
      <c r="H3" s="5"/>
      <c r="I3" s="5"/>
      <c r="J3" s="5"/>
      <c r="K3" s="5"/>
      <c r="L3" s="5"/>
    </row>
    <row r="4" spans="1:12" ht="26.1" customHeight="1" x14ac:dyDescent="0.25">
      <c r="A4" s="64" t="s">
        <v>362</v>
      </c>
      <c r="B4" s="65" t="s">
        <v>23</v>
      </c>
      <c r="C4" s="65" t="s">
        <v>363</v>
      </c>
      <c r="D4" s="65" t="s">
        <v>364</v>
      </c>
      <c r="E4" s="65" t="s">
        <v>365</v>
      </c>
      <c r="F4" s="65" t="s">
        <v>366</v>
      </c>
      <c r="G4" s="65" t="s">
        <v>367</v>
      </c>
      <c r="H4" s="65" t="s">
        <v>368</v>
      </c>
      <c r="I4" s="65" t="s">
        <v>369</v>
      </c>
      <c r="J4" s="65" t="s">
        <v>370</v>
      </c>
      <c r="K4" s="65" t="s">
        <v>7</v>
      </c>
      <c r="L4" s="66" t="s">
        <v>371</v>
      </c>
    </row>
    <row r="5" spans="1:12" ht="15.75" x14ac:dyDescent="0.25">
      <c r="A5" s="74">
        <v>1</v>
      </c>
      <c r="B5" s="58" t="s">
        <v>32</v>
      </c>
      <c r="C5" s="67">
        <v>70398425000</v>
      </c>
      <c r="D5" s="67">
        <v>0</v>
      </c>
      <c r="E5" s="67">
        <v>0</v>
      </c>
      <c r="F5" s="67">
        <v>0</v>
      </c>
      <c r="G5" s="67">
        <v>0</v>
      </c>
      <c r="H5" s="67">
        <v>13375700750</v>
      </c>
      <c r="I5" s="67">
        <v>0</v>
      </c>
      <c r="J5" s="67">
        <v>0</v>
      </c>
      <c r="K5" s="67">
        <v>13375700750</v>
      </c>
      <c r="L5" s="68">
        <v>83774125750</v>
      </c>
    </row>
    <row r="6" spans="1:12" ht="15.75" x14ac:dyDescent="0.25">
      <c r="A6" s="74">
        <v>2</v>
      </c>
      <c r="B6" s="58" t="s">
        <v>33</v>
      </c>
      <c r="C6" s="67">
        <v>88113093560</v>
      </c>
      <c r="D6" s="67">
        <v>13372067399</v>
      </c>
      <c r="E6" s="67">
        <v>2906971174</v>
      </c>
      <c r="F6" s="67">
        <v>2906971174</v>
      </c>
      <c r="G6" s="67">
        <v>19186009747</v>
      </c>
      <c r="H6" s="67">
        <v>5575297317</v>
      </c>
      <c r="I6" s="67">
        <v>119700000</v>
      </c>
      <c r="J6" s="67">
        <v>552324523</v>
      </c>
      <c r="K6" s="67">
        <v>6247321840</v>
      </c>
      <c r="L6" s="68">
        <v>113546425147</v>
      </c>
    </row>
    <row r="7" spans="1:12" ht="15.75" x14ac:dyDescent="0.25">
      <c r="A7" s="74">
        <v>3</v>
      </c>
      <c r="B7" s="58" t="s">
        <v>34</v>
      </c>
      <c r="C7" s="67">
        <v>5382300000</v>
      </c>
      <c r="D7" s="67">
        <v>0</v>
      </c>
      <c r="E7" s="67">
        <v>0</v>
      </c>
      <c r="F7" s="67">
        <v>0</v>
      </c>
      <c r="G7" s="67">
        <v>0</v>
      </c>
      <c r="H7" s="67">
        <v>975897000</v>
      </c>
      <c r="I7" s="67">
        <v>46740000</v>
      </c>
      <c r="J7" s="67">
        <v>0</v>
      </c>
      <c r="K7" s="67">
        <v>1022637000</v>
      </c>
      <c r="L7" s="68">
        <v>6404937000</v>
      </c>
    </row>
    <row r="8" spans="1:12" ht="15.75" x14ac:dyDescent="0.25">
      <c r="A8" s="74">
        <v>4</v>
      </c>
      <c r="B8" s="58" t="s">
        <v>35</v>
      </c>
      <c r="C8" s="67">
        <v>18238000000</v>
      </c>
      <c r="D8" s="67">
        <v>0</v>
      </c>
      <c r="E8" s="67">
        <v>0</v>
      </c>
      <c r="F8" s="67">
        <v>0</v>
      </c>
      <c r="G8" s="67">
        <v>0</v>
      </c>
      <c r="H8" s="67">
        <v>3123220000</v>
      </c>
      <c r="I8" s="67">
        <v>342000000</v>
      </c>
      <c r="J8" s="67">
        <v>0</v>
      </c>
      <c r="K8" s="67">
        <v>3465220000</v>
      </c>
      <c r="L8" s="68">
        <v>21703220000</v>
      </c>
    </row>
    <row r="9" spans="1:12" ht="15.75" x14ac:dyDescent="0.25">
      <c r="A9" s="74">
        <v>5</v>
      </c>
      <c r="B9" s="58" t="s">
        <v>36</v>
      </c>
      <c r="C9" s="67">
        <v>16412000000</v>
      </c>
      <c r="D9" s="67">
        <v>0</v>
      </c>
      <c r="E9" s="67">
        <v>0</v>
      </c>
      <c r="F9" s="67">
        <v>0</v>
      </c>
      <c r="G9" s="67">
        <v>0</v>
      </c>
      <c r="H9" s="67">
        <v>3099280000</v>
      </c>
      <c r="I9" s="67">
        <v>19000000</v>
      </c>
      <c r="J9" s="67">
        <v>0</v>
      </c>
      <c r="K9" s="67">
        <v>3118280000</v>
      </c>
      <c r="L9" s="68">
        <v>19530280000</v>
      </c>
    </row>
    <row r="10" spans="1:12" ht="15.75" x14ac:dyDescent="0.25">
      <c r="A10" s="74">
        <v>6</v>
      </c>
      <c r="B10" s="58" t="s">
        <v>37</v>
      </c>
      <c r="C10" s="67">
        <v>12647500000</v>
      </c>
      <c r="D10" s="67">
        <v>0</v>
      </c>
      <c r="E10" s="67">
        <v>0</v>
      </c>
      <c r="F10" s="67">
        <v>0</v>
      </c>
      <c r="G10" s="67">
        <v>0</v>
      </c>
      <c r="H10" s="67">
        <v>2114225000</v>
      </c>
      <c r="I10" s="67">
        <v>288800000</v>
      </c>
      <c r="J10" s="67">
        <v>0</v>
      </c>
      <c r="K10" s="67">
        <v>2403025000</v>
      </c>
      <c r="L10" s="68">
        <v>15050525000</v>
      </c>
    </row>
    <row r="11" spans="1:12" ht="15.75" x14ac:dyDescent="0.25">
      <c r="A11" s="69" t="s">
        <v>3</v>
      </c>
      <c r="B11" s="70" t="s">
        <v>38</v>
      </c>
      <c r="C11" s="71">
        <v>211191318560</v>
      </c>
      <c r="D11" s="72" t="s">
        <v>3</v>
      </c>
      <c r="E11" s="72" t="s">
        <v>3</v>
      </c>
      <c r="F11" s="72" t="s">
        <v>3</v>
      </c>
      <c r="G11" s="71">
        <v>19186009747</v>
      </c>
      <c r="H11" s="72" t="s">
        <v>3</v>
      </c>
      <c r="I11" s="72" t="s">
        <v>3</v>
      </c>
      <c r="J11" s="72" t="s">
        <v>3</v>
      </c>
      <c r="K11" s="71">
        <v>29632184590</v>
      </c>
      <c r="L11" s="73">
        <v>260009512897</v>
      </c>
    </row>
    <row r="12" spans="1:12" ht="15.75" x14ac:dyDescent="0.25"/>
  </sheetData>
  <mergeCells count="2">
    <mergeCell ref="A1:L1"/>
    <mergeCell ref="A2:L2"/>
  </mergeCells>
  <pageMargins left="0.5" right="0.5" top="0.5" bottom="0.5" header="0.25" footer="0.25"/>
  <pageSetup paperSize="9" orientation="landscape" r:id="rId1"/>
  <ignoredErrors>
    <ignoredError sqref="A3:L3 A1 A2" numberStoredAsText="1"/>
  </ignoredErrors>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workbookViewId="0">
      <selection activeCell="B5" sqref="B5"/>
    </sheetView>
  </sheetViews>
  <sheetFormatPr baseColWidth="10" defaultRowHeight="15.75" x14ac:dyDescent="0.25"/>
  <cols>
    <col min="1" max="1" width="16" customWidth="1"/>
    <col min="2" max="2" width="38.625" bestFit="1" customWidth="1"/>
    <col min="3" max="3" width="28.75" bestFit="1" customWidth="1"/>
    <col min="4" max="4" width="25.875" customWidth="1"/>
    <col min="5" max="5" width="11.625" customWidth="1"/>
    <col min="6" max="6" width="50.125" customWidth="1"/>
  </cols>
  <sheetData>
    <row r="1" spans="1:6" ht="32.1" customHeight="1" x14ac:dyDescent="0.25">
      <c r="A1" s="20" t="s">
        <v>372</v>
      </c>
      <c r="B1" s="36"/>
      <c r="C1" s="36"/>
      <c r="D1" s="36"/>
      <c r="E1" s="36"/>
      <c r="F1" s="37"/>
    </row>
    <row r="2" spans="1:6" x14ac:dyDescent="0.25">
      <c r="A2" s="21" t="s">
        <v>373</v>
      </c>
      <c r="B2" s="17"/>
      <c r="C2" s="17"/>
      <c r="D2" s="17"/>
      <c r="E2" s="17"/>
      <c r="F2" s="18"/>
    </row>
    <row r="3" spans="1:6" x14ac:dyDescent="0.25">
      <c r="A3" s="19"/>
      <c r="B3" s="19"/>
      <c r="C3" s="19"/>
      <c r="D3" s="19"/>
      <c r="E3" s="19"/>
      <c r="F3" s="19"/>
    </row>
    <row r="4" spans="1:6" ht="26.1" customHeight="1" x14ac:dyDescent="0.25">
      <c r="A4" s="52" t="s">
        <v>374</v>
      </c>
      <c r="B4" s="53" t="s">
        <v>332</v>
      </c>
      <c r="C4" s="54" t="s">
        <v>375</v>
      </c>
      <c r="D4" s="54" t="s">
        <v>376</v>
      </c>
      <c r="E4" s="54" t="s">
        <v>377</v>
      </c>
      <c r="F4" s="55" t="s">
        <v>378</v>
      </c>
    </row>
    <row r="5" spans="1:6" x14ac:dyDescent="0.25">
      <c r="A5" s="56" t="s">
        <v>379</v>
      </c>
      <c r="B5" s="57" t="s">
        <v>380</v>
      </c>
      <c r="C5" s="58" t="s">
        <v>381</v>
      </c>
      <c r="D5" s="58" t="s">
        <v>382</v>
      </c>
      <c r="E5" s="58" t="s">
        <v>383</v>
      </c>
      <c r="F5" s="59" t="s">
        <v>384</v>
      </c>
    </row>
    <row r="6" spans="1:6" x14ac:dyDescent="0.25">
      <c r="A6" s="56" t="s">
        <v>99</v>
      </c>
      <c r="B6" s="57" t="s">
        <v>385</v>
      </c>
      <c r="C6" s="58" t="s">
        <v>386</v>
      </c>
      <c r="D6" s="58" t="s">
        <v>387</v>
      </c>
      <c r="E6" s="58" t="s">
        <v>383</v>
      </c>
      <c r="F6" s="59" t="s">
        <v>388</v>
      </c>
    </row>
    <row r="7" spans="1:6" x14ac:dyDescent="0.25">
      <c r="A7" s="56" t="s">
        <v>101</v>
      </c>
      <c r="B7" s="57" t="s">
        <v>389</v>
      </c>
      <c r="C7" s="58" t="s">
        <v>390</v>
      </c>
      <c r="D7" s="58" t="s">
        <v>391</v>
      </c>
      <c r="E7" s="58" t="s">
        <v>383</v>
      </c>
      <c r="F7" s="59" t="s">
        <v>392</v>
      </c>
    </row>
    <row r="8" spans="1:6" x14ac:dyDescent="0.25">
      <c r="A8" s="56" t="s">
        <v>249</v>
      </c>
      <c r="B8" s="57" t="s">
        <v>393</v>
      </c>
      <c r="C8" s="58" t="s">
        <v>394</v>
      </c>
      <c r="D8" s="58" t="s">
        <v>395</v>
      </c>
      <c r="E8" s="58" t="s">
        <v>383</v>
      </c>
      <c r="F8" s="59" t="s">
        <v>396</v>
      </c>
    </row>
    <row r="9" spans="1:6" x14ac:dyDescent="0.25">
      <c r="A9" s="56" t="s">
        <v>168</v>
      </c>
      <c r="B9" s="57" t="s">
        <v>397</v>
      </c>
      <c r="C9" s="58" t="s">
        <v>398</v>
      </c>
      <c r="D9" s="58" t="s">
        <v>399</v>
      </c>
      <c r="E9" s="58" t="s">
        <v>400</v>
      </c>
      <c r="F9" s="59" t="s">
        <v>401</v>
      </c>
    </row>
    <row r="10" spans="1:6" x14ac:dyDescent="0.25">
      <c r="A10" s="56" t="s">
        <v>402</v>
      </c>
      <c r="B10" s="57" t="s">
        <v>403</v>
      </c>
      <c r="C10" s="58" t="s">
        <v>404</v>
      </c>
      <c r="D10" s="58" t="s">
        <v>405</v>
      </c>
      <c r="E10" s="58" t="s">
        <v>400</v>
      </c>
      <c r="F10" s="59" t="s">
        <v>406</v>
      </c>
    </row>
    <row r="11" spans="1:6" x14ac:dyDescent="0.25">
      <c r="A11" s="56" t="s">
        <v>407</v>
      </c>
      <c r="B11" s="57" t="s">
        <v>408</v>
      </c>
      <c r="C11" s="58" t="s">
        <v>409</v>
      </c>
      <c r="D11" s="58" t="s">
        <v>405</v>
      </c>
      <c r="E11" s="58" t="s">
        <v>400</v>
      </c>
      <c r="F11" s="59" t="s">
        <v>410</v>
      </c>
    </row>
    <row r="12" spans="1:6" x14ac:dyDescent="0.25">
      <c r="A12" s="56" t="s">
        <v>411</v>
      </c>
      <c r="B12" s="57" t="s">
        <v>412</v>
      </c>
      <c r="C12" s="58" t="s">
        <v>413</v>
      </c>
      <c r="D12" s="58" t="s">
        <v>414</v>
      </c>
      <c r="E12" s="58" t="s">
        <v>400</v>
      </c>
      <c r="F12" s="59" t="s">
        <v>415</v>
      </c>
    </row>
    <row r="13" spans="1:6" ht="29.25" x14ac:dyDescent="0.25">
      <c r="A13" s="60" t="s">
        <v>148</v>
      </c>
      <c r="B13" s="61" t="s">
        <v>460</v>
      </c>
      <c r="C13" s="62" t="s">
        <v>461</v>
      </c>
      <c r="D13" s="62" t="s">
        <v>462</v>
      </c>
      <c r="E13" s="62" t="s">
        <v>400</v>
      </c>
      <c r="F13" s="63" t="s">
        <v>463</v>
      </c>
    </row>
  </sheetData>
  <mergeCells count="2">
    <mergeCell ref="A1:F1"/>
    <mergeCell ref="A2:F2"/>
  </mergeCells>
  <pageMargins left="0.5" right="0.5" top="0.5" bottom="0.5" header="0.25" footer="0.25"/>
  <pageSetup paperSize="9" orientation="landscape" r:id="rId1"/>
  <ignoredErrors>
    <ignoredError sqref="A3:F3 A2" numberStoredAsText="1"/>
  </ignoredErrors>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58"/>
  <sheetViews>
    <sheetView tabSelected="1" workbookViewId="0">
      <pane ySplit="2" topLeftCell="A45" activePane="bottomLeft" state="frozen"/>
      <selection pane="bottomLeft" activeCell="A58" sqref="A58"/>
    </sheetView>
  </sheetViews>
  <sheetFormatPr baseColWidth="10" defaultRowHeight="15" x14ac:dyDescent="0.25"/>
  <cols>
    <col min="1" max="1" width="29.75" bestFit="1" customWidth="1"/>
    <col min="2" max="2" width="21.5" customWidth="1"/>
    <col min="3" max="3" width="36.75" bestFit="1" customWidth="1"/>
    <col min="4" max="4" width="58.375" customWidth="1"/>
  </cols>
  <sheetData>
    <row r="1" spans="1:4" ht="30" customHeight="1" x14ac:dyDescent="0.25">
      <c r="A1" s="228" t="s">
        <v>547</v>
      </c>
      <c r="B1" s="38"/>
      <c r="C1" s="38"/>
      <c r="D1" s="38"/>
    </row>
    <row r="2" spans="1:4" ht="15.75" x14ac:dyDescent="0.25">
      <c r="A2" s="39" t="s">
        <v>416</v>
      </c>
      <c r="B2" s="40"/>
      <c r="C2" s="40"/>
      <c r="D2" s="40"/>
    </row>
    <row r="3" spans="1:4" ht="15.75" x14ac:dyDescent="0.25">
      <c r="A3" s="12"/>
      <c r="B3" s="12"/>
      <c r="C3" s="12"/>
      <c r="D3" s="12"/>
    </row>
    <row r="4" spans="1:4" ht="24" customHeight="1" x14ac:dyDescent="0.25">
      <c r="A4" s="41" t="s">
        <v>376</v>
      </c>
      <c r="B4" s="41" t="s">
        <v>45</v>
      </c>
      <c r="C4" s="42" t="s">
        <v>417</v>
      </c>
      <c r="D4" s="42" t="s">
        <v>418</v>
      </c>
    </row>
    <row r="5" spans="1:4" ht="89.25" x14ac:dyDescent="0.25">
      <c r="A5" s="206" t="s">
        <v>419</v>
      </c>
      <c r="B5" s="206" t="s">
        <v>420</v>
      </c>
      <c r="C5" s="207" t="s">
        <v>421</v>
      </c>
      <c r="D5" s="208" t="s">
        <v>540</v>
      </c>
    </row>
    <row r="6" spans="1:4" ht="63.75" x14ac:dyDescent="0.25">
      <c r="A6" s="206" t="s">
        <v>422</v>
      </c>
      <c r="B6" s="206" t="s">
        <v>420</v>
      </c>
      <c r="C6" s="207" t="s">
        <v>423</v>
      </c>
      <c r="D6" s="208" t="s">
        <v>541</v>
      </c>
    </row>
    <row r="7" spans="1:4" ht="76.5" x14ac:dyDescent="0.25">
      <c r="A7" s="206" t="s">
        <v>424</v>
      </c>
      <c r="B7" s="206" t="s">
        <v>425</v>
      </c>
      <c r="C7" s="207" t="s">
        <v>426</v>
      </c>
      <c r="D7" s="208" t="s">
        <v>542</v>
      </c>
    </row>
    <row r="8" spans="1:4" ht="51" x14ac:dyDescent="0.25">
      <c r="A8" s="206" t="s">
        <v>427</v>
      </c>
      <c r="B8" s="206" t="s">
        <v>425</v>
      </c>
      <c r="C8" s="207" t="s">
        <v>428</v>
      </c>
      <c r="D8" s="208" t="s">
        <v>543</v>
      </c>
    </row>
    <row r="9" spans="1:4" ht="114.75" x14ac:dyDescent="0.25">
      <c r="A9" s="206" t="s">
        <v>429</v>
      </c>
      <c r="B9" s="206" t="s">
        <v>430</v>
      </c>
      <c r="C9" s="207" t="s">
        <v>431</v>
      </c>
      <c r="D9" s="208" t="s">
        <v>544</v>
      </c>
    </row>
    <row r="10" spans="1:4" ht="76.5" x14ac:dyDescent="0.25">
      <c r="A10" s="206" t="s">
        <v>432</v>
      </c>
      <c r="B10" s="206" t="s">
        <v>433</v>
      </c>
      <c r="C10" s="207" t="s">
        <v>434</v>
      </c>
      <c r="D10" s="208" t="s">
        <v>545</v>
      </c>
    </row>
    <row r="11" spans="1:4" ht="76.5" x14ac:dyDescent="0.25">
      <c r="A11" s="206" t="s">
        <v>435</v>
      </c>
      <c r="B11" s="206" t="s">
        <v>436</v>
      </c>
      <c r="C11" s="207" t="s">
        <v>437</v>
      </c>
      <c r="D11" s="208" t="s">
        <v>546</v>
      </c>
    </row>
    <row r="12" spans="1:4" ht="15.75" x14ac:dyDescent="0.25">
      <c r="A12" s="12"/>
      <c r="B12" s="12"/>
      <c r="C12" s="4"/>
      <c r="D12" s="4"/>
    </row>
    <row r="13" spans="1:4" ht="21.95" customHeight="1" x14ac:dyDescent="0.25">
      <c r="A13" s="47" t="s">
        <v>13</v>
      </c>
      <c r="B13" s="47"/>
      <c r="C13" s="48"/>
      <c r="D13" s="48"/>
    </row>
    <row r="14" spans="1:4" ht="15.75" x14ac:dyDescent="0.25">
      <c r="A14" s="204" t="s">
        <v>438</v>
      </c>
      <c r="B14" s="209">
        <v>4400</v>
      </c>
      <c r="C14" s="205" t="s">
        <v>439</v>
      </c>
      <c r="D14" s="205" t="s">
        <v>440</v>
      </c>
    </row>
    <row r="15" spans="1:4" ht="15.75" x14ac:dyDescent="0.25">
      <c r="A15" s="43" t="s">
        <v>441</v>
      </c>
      <c r="B15" s="49">
        <v>1.0900000000000001</v>
      </c>
      <c r="C15" s="44" t="s">
        <v>442</v>
      </c>
      <c r="D15" s="44" t="s">
        <v>443</v>
      </c>
    </row>
    <row r="16" spans="1:4" ht="15.75" x14ac:dyDescent="0.25">
      <c r="A16" s="45" t="s">
        <v>16</v>
      </c>
      <c r="B16" s="50">
        <v>4796</v>
      </c>
      <c r="C16" s="46" t="s">
        <v>444</v>
      </c>
      <c r="D16" s="46" t="s">
        <v>445</v>
      </c>
    </row>
    <row r="17" spans="1:4" ht="15.75" x14ac:dyDescent="0.25">
      <c r="A17" s="12"/>
      <c r="B17" s="12"/>
      <c r="C17" s="12"/>
      <c r="D17" s="12"/>
    </row>
    <row r="18" spans="1:4" ht="21.95" customHeight="1" x14ac:dyDescent="0.25">
      <c r="A18" s="47" t="s">
        <v>446</v>
      </c>
      <c r="B18" s="47"/>
      <c r="C18" s="47"/>
      <c r="D18" s="47"/>
    </row>
    <row r="19" spans="1:4" ht="15.75" x14ac:dyDescent="0.25">
      <c r="A19" s="204" t="s">
        <v>447</v>
      </c>
      <c r="B19" s="204" t="s">
        <v>448</v>
      </c>
      <c r="C19" s="204" t="s">
        <v>449</v>
      </c>
      <c r="D19" s="204"/>
    </row>
    <row r="20" spans="1:4" ht="15.75" x14ac:dyDescent="0.25">
      <c r="A20" s="43" t="s">
        <v>450</v>
      </c>
      <c r="B20" s="43" t="s">
        <v>451</v>
      </c>
      <c r="C20" s="43" t="s">
        <v>452</v>
      </c>
      <c r="D20" s="43"/>
    </row>
    <row r="21" spans="1:4" ht="15.75" x14ac:dyDescent="0.25">
      <c r="A21" s="45" t="s">
        <v>453</v>
      </c>
      <c r="B21" s="45" t="s">
        <v>454</v>
      </c>
      <c r="C21" s="45" t="s">
        <v>455</v>
      </c>
      <c r="D21" s="45"/>
    </row>
    <row r="22" spans="1:4" ht="15.75" x14ac:dyDescent="0.25">
      <c r="A22" s="12"/>
      <c r="B22" s="12"/>
      <c r="C22" s="12"/>
      <c r="D22" s="12"/>
    </row>
    <row r="23" spans="1:4" ht="15.75" x14ac:dyDescent="0.25">
      <c r="A23" s="210" t="s">
        <v>516</v>
      </c>
      <c r="B23" s="210"/>
      <c r="C23" s="210"/>
      <c r="D23" s="210"/>
    </row>
    <row r="24" spans="1:4" ht="15.75" x14ac:dyDescent="0.25">
      <c r="A24" s="211" t="s">
        <v>517</v>
      </c>
      <c r="B24" s="211"/>
      <c r="C24" s="211"/>
      <c r="D24" s="211"/>
    </row>
    <row r="25" spans="1:4" ht="15.75" x14ac:dyDescent="0.25">
      <c r="A25" s="2"/>
      <c r="B25" s="2"/>
      <c r="C25" s="2"/>
      <c r="D25" s="2"/>
    </row>
    <row r="26" spans="1:4" ht="15.75" x14ac:dyDescent="0.25">
      <c r="A26" s="212" t="s">
        <v>518</v>
      </c>
      <c r="B26" s="212"/>
      <c r="C26" s="212"/>
      <c r="D26" s="212"/>
    </row>
    <row r="27" spans="1:4" ht="15.75" x14ac:dyDescent="0.25">
      <c r="A27" s="98" t="s">
        <v>468</v>
      </c>
      <c r="B27" s="98" t="s">
        <v>519</v>
      </c>
      <c r="C27" s="98" t="s">
        <v>520</v>
      </c>
      <c r="D27" s="98" t="s">
        <v>521</v>
      </c>
    </row>
    <row r="28" spans="1:4" ht="15.75" x14ac:dyDescent="0.25">
      <c r="A28" s="213" t="s">
        <v>522</v>
      </c>
      <c r="B28" s="214">
        <v>52219</v>
      </c>
      <c r="C28" s="214">
        <v>122894</v>
      </c>
      <c r="D28" s="215">
        <v>-70675</v>
      </c>
    </row>
    <row r="29" spans="1:4" ht="15.75" x14ac:dyDescent="0.25">
      <c r="A29" s="213" t="s">
        <v>523</v>
      </c>
      <c r="B29" s="214" t="s">
        <v>442</v>
      </c>
      <c r="C29" s="214">
        <v>12320</v>
      </c>
      <c r="D29" s="215">
        <v>-12320</v>
      </c>
    </row>
    <row r="30" spans="1:4" ht="15.75" x14ac:dyDescent="0.25">
      <c r="A30" s="213" t="s">
        <v>524</v>
      </c>
      <c r="B30" s="214">
        <v>10000</v>
      </c>
      <c r="C30" s="214">
        <v>19126</v>
      </c>
      <c r="D30" s="215">
        <v>-9126</v>
      </c>
    </row>
    <row r="31" spans="1:4" ht="15.75" x14ac:dyDescent="0.25">
      <c r="A31" s="213" t="s">
        <v>525</v>
      </c>
      <c r="B31" s="214">
        <v>6660</v>
      </c>
      <c r="C31" s="214">
        <v>13830</v>
      </c>
      <c r="D31" s="215">
        <v>-7170</v>
      </c>
    </row>
    <row r="32" spans="1:4" ht="15.75" x14ac:dyDescent="0.25">
      <c r="A32" s="126" t="s">
        <v>526</v>
      </c>
      <c r="B32" s="216"/>
      <c r="C32" s="216"/>
      <c r="D32" s="217">
        <v>-99291</v>
      </c>
    </row>
    <row r="33" spans="1:4" ht="15.75" x14ac:dyDescent="0.25">
      <c r="A33" s="2"/>
      <c r="B33" s="2"/>
      <c r="C33" s="2"/>
      <c r="D33" s="2"/>
    </row>
    <row r="34" spans="1:4" ht="15.75" x14ac:dyDescent="0.25">
      <c r="A34" s="212" t="s">
        <v>527</v>
      </c>
      <c r="B34" s="212"/>
      <c r="C34" s="212"/>
      <c r="D34" s="212"/>
    </row>
    <row r="35" spans="1:4" ht="15.75" x14ac:dyDescent="0.25">
      <c r="A35" s="218" t="s">
        <v>468</v>
      </c>
      <c r="B35" s="218" t="s">
        <v>519</v>
      </c>
      <c r="C35" s="218" t="s">
        <v>520</v>
      </c>
      <c r="D35" s="218" t="s">
        <v>521</v>
      </c>
    </row>
    <row r="36" spans="1:4" ht="15.75" x14ac:dyDescent="0.25">
      <c r="A36" s="219" t="s">
        <v>528</v>
      </c>
      <c r="B36" s="220">
        <v>18238</v>
      </c>
      <c r="C36" s="220">
        <v>2544</v>
      </c>
      <c r="D36" s="220">
        <v>15694</v>
      </c>
    </row>
    <row r="37" spans="1:4" ht="15.75" x14ac:dyDescent="0.25">
      <c r="A37" s="219" t="s">
        <v>529</v>
      </c>
      <c r="B37" s="220">
        <v>16412</v>
      </c>
      <c r="C37" s="220">
        <v>8875</v>
      </c>
      <c r="D37" s="220">
        <v>7537</v>
      </c>
    </row>
    <row r="38" spans="1:4" ht="15.75" x14ac:dyDescent="0.25">
      <c r="A38" s="219" t="s">
        <v>530</v>
      </c>
      <c r="B38" s="220">
        <v>15727</v>
      </c>
      <c r="C38" s="220">
        <v>10450</v>
      </c>
      <c r="D38" s="220">
        <v>5277</v>
      </c>
    </row>
    <row r="39" spans="1:4" ht="15.75" x14ac:dyDescent="0.25">
      <c r="A39" s="219" t="s">
        <v>531</v>
      </c>
      <c r="B39" s="220">
        <v>36346</v>
      </c>
      <c r="C39" s="220">
        <v>6600</v>
      </c>
      <c r="D39" s="220">
        <v>29746</v>
      </c>
    </row>
    <row r="40" spans="1:4" ht="15.75" x14ac:dyDescent="0.25">
      <c r="A40" s="216" t="s">
        <v>532</v>
      </c>
      <c r="B40" s="216"/>
      <c r="C40" s="216"/>
      <c r="D40" s="221">
        <v>58254</v>
      </c>
    </row>
    <row r="41" spans="1:4" ht="15.75" x14ac:dyDescent="0.25">
      <c r="A41" s="2"/>
      <c r="B41" s="2"/>
      <c r="C41" s="2"/>
      <c r="D41" s="2"/>
    </row>
    <row r="42" spans="1:4" ht="15.75" x14ac:dyDescent="0.25">
      <c r="A42" s="222" t="s">
        <v>533</v>
      </c>
      <c r="B42" s="222"/>
      <c r="C42" s="222"/>
      <c r="D42" s="222"/>
    </row>
    <row r="43" spans="1:4" ht="15.75" x14ac:dyDescent="0.25">
      <c r="A43" s="223" t="s">
        <v>534</v>
      </c>
      <c r="B43" s="223"/>
      <c r="C43" s="223"/>
      <c r="D43" s="224">
        <v>-41037</v>
      </c>
    </row>
    <row r="44" spans="1:4" ht="15.75" x14ac:dyDescent="0.25">
      <c r="A44" s="225" t="s">
        <v>535</v>
      </c>
      <c r="B44" s="225"/>
      <c r="C44" s="225"/>
      <c r="D44" s="225"/>
    </row>
    <row r="45" spans="1:4" ht="15.75" x14ac:dyDescent="0.25">
      <c r="A45" s="2"/>
      <c r="B45" s="2"/>
      <c r="C45" s="2"/>
      <c r="D45" s="2"/>
    </row>
    <row r="46" spans="1:4" ht="15" customHeight="1" x14ac:dyDescent="0.25">
      <c r="A46" s="222" t="s">
        <v>536</v>
      </c>
      <c r="B46" s="222"/>
      <c r="C46" s="222"/>
      <c r="D46" s="222"/>
    </row>
    <row r="47" spans="1:4" ht="45" customHeight="1" x14ac:dyDescent="0.25">
      <c r="A47" s="226" t="s">
        <v>537</v>
      </c>
      <c r="B47" s="226"/>
      <c r="C47" s="226"/>
      <c r="D47" s="226"/>
    </row>
    <row r="48" spans="1:4" ht="15.75" x14ac:dyDescent="0.25">
      <c r="A48" s="2"/>
      <c r="B48" s="2"/>
      <c r="C48" s="2"/>
      <c r="D48" s="2"/>
    </row>
    <row r="49" spans="1:4" ht="15" customHeight="1" x14ac:dyDescent="0.25">
      <c r="A49" s="227" t="s">
        <v>538</v>
      </c>
      <c r="B49" s="227"/>
      <c r="C49" s="227"/>
      <c r="D49" s="227"/>
    </row>
    <row r="50" spans="1:4" ht="54.95" customHeight="1" x14ac:dyDescent="0.25">
      <c r="A50" s="226" t="s">
        <v>539</v>
      </c>
      <c r="B50" s="226"/>
      <c r="C50" s="226"/>
      <c r="D50" s="226"/>
    </row>
    <row r="51" spans="1:4" ht="15.75" x14ac:dyDescent="0.25"/>
    <row r="52" spans="1:4" ht="15" customHeight="1" x14ac:dyDescent="0.25">
      <c r="A52" s="203" t="s">
        <v>548</v>
      </c>
      <c r="B52" s="203"/>
      <c r="C52" s="203"/>
      <c r="D52" s="203"/>
    </row>
    <row r="53" spans="1:4" ht="38.1" customHeight="1" x14ac:dyDescent="0.25">
      <c r="A53" s="230" t="s">
        <v>549</v>
      </c>
      <c r="B53" s="230"/>
      <c r="C53" s="230"/>
      <c r="D53" s="230"/>
    </row>
    <row r="54" spans="1:4" ht="38.1" customHeight="1" x14ac:dyDescent="0.25">
      <c r="A54" s="231" t="s">
        <v>550</v>
      </c>
      <c r="B54" s="231"/>
      <c r="C54" s="231"/>
      <c r="D54" s="231"/>
    </row>
    <row r="55" spans="1:4" ht="38.1" customHeight="1" x14ac:dyDescent="0.25">
      <c r="A55" s="232" t="s">
        <v>551</v>
      </c>
      <c r="B55" s="232"/>
      <c r="C55" s="232"/>
      <c r="D55" s="232"/>
    </row>
    <row r="56" spans="1:4" ht="15.75" x14ac:dyDescent="0.25"/>
    <row r="57" spans="1:4" ht="15" customHeight="1" x14ac:dyDescent="0.25">
      <c r="A57" s="229" t="s">
        <v>552</v>
      </c>
      <c r="B57" s="229"/>
      <c r="C57" s="229"/>
      <c r="D57" s="229"/>
    </row>
    <row r="58" spans="1:4" ht="15.75" x14ac:dyDescent="0.25"/>
  </sheetData>
  <mergeCells count="20">
    <mergeCell ref="A52:D52"/>
    <mergeCell ref="A53:D53"/>
    <mergeCell ref="A54:D54"/>
    <mergeCell ref="A55:D55"/>
    <mergeCell ref="A57:D57"/>
    <mergeCell ref="A43:C43"/>
    <mergeCell ref="A44:D44"/>
    <mergeCell ref="A46:D46"/>
    <mergeCell ref="A47:D47"/>
    <mergeCell ref="A49:D49"/>
    <mergeCell ref="A50:D50"/>
    <mergeCell ref="A26:D26"/>
    <mergeCell ref="A23:D23"/>
    <mergeCell ref="A24:D24"/>
    <mergeCell ref="A34:D34"/>
    <mergeCell ref="A42:D42"/>
    <mergeCell ref="A1:D1"/>
    <mergeCell ref="A2:D2"/>
    <mergeCell ref="A13:D13"/>
    <mergeCell ref="A18:D18"/>
  </mergeCells>
  <pageMargins left="0.5" right="0.5" top="0.5" bottom="0.5" header="0.25" footer="0.25"/>
  <pageSetup paperSize="9" orientation="landscape" r:id="rId1"/>
  <ignoredErrors>
    <ignoredError sqref="A3:D4 A2 A14:D17 A13 A19:D22 A18 A12:D12 A8:C8 A7:C7 A5:C5 A6:C6 A9:C9 A10:C10 A11:C11"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9</vt:i4>
      </vt:variant>
    </vt:vector>
  </HeadingPairs>
  <TitlesOfParts>
    <vt:vector size="17" baseType="lpstr">
      <vt:lpstr>0.Resumen Gerencial</vt:lpstr>
      <vt:lpstr>1.Total General</vt:lpstr>
      <vt:lpstr>2.Por Capítulo</vt:lpstr>
      <vt:lpstr>3.Detalle Ítems</vt:lpstr>
      <vt:lpstr>4.Obra vs Compras</vt:lpstr>
      <vt:lpstr>5.AIU Desglose</vt:lpstr>
      <vt:lpstr>6.Pendientes RFQ</vt:lpstr>
      <vt:lpstr>7.Fuentes y Notas</vt:lpstr>
      <vt:lpstr>'3.Detalle Ítems'!_FilterDatabase</vt:lpstr>
      <vt:lpstr>'0.Resumen Gerencial'!Área_de_impresión</vt:lpstr>
      <vt:lpstr>'1.Total General'!Títulos_a_imprimir</vt:lpstr>
      <vt:lpstr>'2.Por Capítulo'!Títulos_a_imprimir</vt:lpstr>
      <vt:lpstr>'3.Detalle Ítems'!Títulos_a_imprimir</vt:lpstr>
      <vt:lpstr>'4.Obra vs Compras'!Títulos_a_imprimir</vt:lpstr>
      <vt:lpstr>'5.AIU Desglose'!Títulos_a_imprimir</vt:lpstr>
      <vt:lpstr>'6.Pendientes RFQ'!Títulos_a_imprimir</vt:lpstr>
      <vt:lpstr>'7.Fuentes y Notas'!Títulos_a_imprimir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Diego Leonardo Zuñiga Samboni</cp:lastModifiedBy>
  <dcterms:modified xsi:type="dcterms:W3CDTF">2026-05-06T01:26:55Z</dcterms:modified>
</cp:coreProperties>
</file>