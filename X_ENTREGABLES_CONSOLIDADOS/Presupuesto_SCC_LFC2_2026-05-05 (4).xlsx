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.Total General" sheetId="1" state="visible" r:id="rId1"/>
    <sheet name="2.Por Capítulo" sheetId="2" state="visible" r:id="rId2"/>
    <sheet name="3.Detalle Ítems" sheetId="3" state="visible" r:id="rId3"/>
    <sheet name="4.Obra vs Compras" sheetId="4" state="visible" r:id="rId4"/>
    <sheet name="5.AIU Desglose" sheetId="5" state="visible" r:id="rId5"/>
    <sheet name="6.Pendientes RFQ" sheetId="6" state="visible" r:id="rId6"/>
    <sheet name="7.Fuentes y Notas" sheetId="7" state="visible" r:id="rId7"/>
  </sheets>
  <definedNames>
    <definedName name="_xlnm.Print_Titles" localSheetId="0">'1.Total General'!$1:$2</definedName>
    <definedName name="_xlnm.Print_Titles" localSheetId="1">'2.Por Capítulo'!$1:$1</definedName>
    <definedName name="_xlnm.Print_Titles" localSheetId="2">'3.Detalle Ítems'!$1:$2</definedName>
    <definedName name="_xlnm.Print_Titles" localSheetId="3">'4.Obra vs Compras'!$1:$4</definedName>
    <definedName name="_xlnm.Print_Titles" localSheetId="4">'5.AIU Desglose'!$1:$4</definedName>
    <definedName name="_xlnm.Print_Titles" localSheetId="5">'6.Pendientes RFQ'!$1:$4</definedName>
    <definedName name="_xlnm.Print_Titles" localSheetId="6">'7.Fuentes y Notas'!$1:$2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olor theme="1"/>
      <sz val="12"/>
      <scheme val="minor"/>
    </font>
    <font>
      <name val="Calibri"/>
      <b val="1"/>
      <color rgb="FFFFFFFF"/>
      <sz val="16"/>
      <scheme val="minor"/>
    </font>
    <font>
      <name val="Calibri"/>
      <i val="1"/>
      <color rgb="FF595959"/>
      <sz val="10"/>
      <scheme val="minor"/>
    </font>
    <font>
      <name val="Calibri"/>
      <b val="1"/>
      <color theme="1"/>
      <sz val="12"/>
      <scheme val="minor"/>
    </font>
    <font>
      <name val="Calibri"/>
      <b val="1"/>
      <color rgb="FFFFFFFF"/>
      <sz val="12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000000"/>
      <sz val="11"/>
      <scheme val="minor"/>
    </font>
    <font>
      <name val="Calibri"/>
      <b val="1"/>
      <color rgb="FFFFFFFF"/>
      <sz val="14"/>
      <scheme val="minor"/>
    </font>
    <font>
      <name val="Calibri"/>
      <color rgb="FF1F4E78"/>
      <sz val="11"/>
      <scheme val="minor"/>
    </font>
    <font>
      <name val="Calibri"/>
      <color rgb="FFC00000"/>
      <sz val="11"/>
      <scheme val="minor"/>
    </font>
    <font>
      <name val="Calibri"/>
      <color rgb="FF375623"/>
      <sz val="11"/>
      <scheme val="minor"/>
    </font>
    <font>
      <name val="Calibri"/>
      <b val="1"/>
      <color rgb="FF1F4E78"/>
      <sz val="11"/>
      <scheme val="minor"/>
    </font>
    <font>
      <name val="Calibri"/>
      <b val="1"/>
      <color rgb="FFC00000"/>
      <sz val="11"/>
      <scheme val="minor"/>
    </font>
    <font>
      <name val="Calibri"/>
      <b val="1"/>
      <color rgb="FF375623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000000"/>
      <sz val="12"/>
      <scheme val="minor"/>
    </font>
    <font>
      <name val="Calibri"/>
      <b val="1"/>
      <color rgb="FF000000"/>
      <sz val="10"/>
      <scheme val="minor"/>
    </font>
    <font>
      <name val="Calibri"/>
      <i val="1"/>
      <color rgb="FF595959"/>
      <sz val="9"/>
      <scheme val="minor"/>
    </font>
    <font>
      <name val="Calibri"/>
      <b val="1"/>
      <i val="1"/>
      <color rgb="FFFFFFFF"/>
      <sz val="12"/>
      <scheme val="minor"/>
    </font>
    <font>
      <name val="Calibri"/>
      <color rgb="FF000000"/>
      <sz val="11"/>
      <scheme val="minor"/>
    </font>
    <font>
      <name val="Calibri"/>
      <family val="2"/>
      <color rgb="FF00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1E3C7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C4D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1E3C72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medium">
        <color rgb="FF1E3C72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3C72"/>
      </top>
      <bottom style="thin">
        <color rgb="FFBFBFBF"/>
      </bottom>
      <diagonal/>
    </border>
    <border>
      <left style="thin">
        <color rgb="FFBFBFBF"/>
      </left>
      <right/>
      <top style="medium">
        <color rgb="FF1E3C72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1E3C7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3C72"/>
      </bottom>
      <diagonal/>
    </border>
    <border>
      <left style="thin">
        <color rgb="FFBFBFBF"/>
      </left>
      <right/>
      <top style="thin">
        <color rgb="FFBFBFBF"/>
      </top>
      <bottom style="medium">
        <color rgb="FF1E3C72"/>
      </bottom>
      <diagonal/>
    </border>
    <border>
      <left style="thick">
        <color rgb="FFFFD700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theme="1"/>
      </bottom>
      <diagonal/>
    </border>
    <border>
      <left/>
      <right/>
      <top style="thin">
        <color rgb="FFBFBFBF"/>
      </top>
      <bottom style="thin">
        <color theme="1"/>
      </bottom>
      <diagonal/>
    </border>
    <border>
      <left style="thin">
        <color rgb="FFBFBFBF"/>
      </left>
      <right/>
      <top/>
      <bottom style="medium">
        <color rgb="FF1E3C72"/>
      </bottom>
      <diagonal/>
    </border>
    <border>
      <left style="thin">
        <color rgb="FFBFBFBF"/>
      </left>
      <right/>
      <top style="medium">
        <color rgb="FF1E3C72"/>
      </top>
      <bottom style="medium">
        <color rgb="FF1E3C72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4" fontId="2" fillId="0" borderId="0"/>
  </cellStyleXfs>
  <cellXfs count="188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0" borderId="7" pivotButton="0" quotePrefix="0" xfId="0"/>
    <xf numFmtId="0" fontId="7" fillId="2" borderId="7" pivotButton="0" quotePrefix="0" xfId="0"/>
    <xf numFmtId="0" fontId="9" fillId="0" borderId="6" pivotButton="0" quotePrefix="0" xfId="0"/>
    <xf numFmtId="0" fontId="8" fillId="0" borderId="7" pivotButton="0" quotePrefix="0" xfId="0"/>
    <xf numFmtId="164" fontId="8" fillId="0" borderId="7" applyAlignment="1" pivotButton="0" quotePrefix="0" xfId="0">
      <alignment horizontal="right"/>
    </xf>
    <xf numFmtId="0" fontId="8" fillId="3" borderId="7" pivotButton="0" quotePrefix="0" xfId="0"/>
    <xf numFmtId="164" fontId="8" fillId="3" borderId="7" applyAlignment="1" pivotButton="0" quotePrefix="0" xfId="0">
      <alignment horizontal="right"/>
    </xf>
    <xf numFmtId="0" fontId="10" fillId="4" borderId="7" pivotButton="0" quotePrefix="0" xfId="0"/>
    <xf numFmtId="164" fontId="10" fillId="4" borderId="7" applyAlignment="1" pivotButton="0" quotePrefix="0" xfId="0">
      <alignment horizontal="right"/>
    </xf>
    <xf numFmtId="164" fontId="10" fillId="4" borderId="8" applyAlignment="1" pivotButton="0" quotePrefix="0" xfId="0">
      <alignment horizontal="right"/>
    </xf>
    <xf numFmtId="2" fontId="8" fillId="0" borderId="7" applyAlignment="1" pivotButton="0" quotePrefix="0" xfId="0">
      <alignment horizontal="right"/>
    </xf>
    <xf numFmtId="0" fontId="5" fillId="0" borderId="7" pivotButton="0" quotePrefix="0" xfId="0"/>
    <xf numFmtId="0" fontId="9" fillId="0" borderId="7" pivotButton="0" quotePrefix="0" xfId="0"/>
    <xf numFmtId="0" fontId="9" fillId="3" borderId="7" pivotButton="0" quotePrefix="0" xfId="0"/>
    <xf numFmtId="0" fontId="8" fillId="3" borderId="7" applyAlignment="1" pivotButton="0" quotePrefix="0" xfId="0">
      <alignment horizontal="right"/>
    </xf>
    <xf numFmtId="0" fontId="8" fillId="0" borderId="7" applyAlignment="1" pivotButton="0" quotePrefix="0" xfId="0">
      <alignment horizontal="right"/>
    </xf>
    <xf numFmtId="164" fontId="0" fillId="0" borderId="0" pivotButton="0" quotePrefix="0" xfId="1"/>
    <xf numFmtId="0" fontId="0" fillId="0" borderId="14" pivotButton="0" quotePrefix="0" xfId="0"/>
    <xf numFmtId="0" fontId="7" fillId="2" borderId="3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center"/>
    </xf>
    <xf numFmtId="0" fontId="8" fillId="0" borderId="6" pivotButton="0" quotePrefix="0" xfId="0"/>
    <xf numFmtId="164" fontId="8" fillId="0" borderId="7" pivotButton="0" quotePrefix="0" xfId="1"/>
    <xf numFmtId="164" fontId="8" fillId="0" borderId="7" pivotButton="0" quotePrefix="0" xfId="0"/>
    <xf numFmtId="164" fontId="8" fillId="0" borderId="8" pivotButton="0" quotePrefix="0" xfId="0"/>
    <xf numFmtId="0" fontId="9" fillId="4" borderId="9" pivotButton="0" quotePrefix="0" xfId="0"/>
    <xf numFmtId="0" fontId="9" fillId="4" borderId="10" pivotButton="0" quotePrefix="0" xfId="0"/>
    <xf numFmtId="164" fontId="9" fillId="4" borderId="10" pivotButton="0" quotePrefix="0" xfId="1"/>
    <xf numFmtId="164" fontId="9" fillId="4" borderId="10" pivotButton="0" quotePrefix="0" xfId="0"/>
    <xf numFmtId="164" fontId="9" fillId="4" borderId="11" pivotButton="0" quotePrefix="0" xfId="0"/>
    <xf numFmtId="0" fontId="6" fillId="0" borderId="0" pivotButton="0" quotePrefix="0" xfId="0"/>
    <xf numFmtId="3" fontId="3" fillId="0" borderId="0" pivotButton="0" quotePrefix="0" xfId="0"/>
    <xf numFmtId="0" fontId="7" fillId="2" borderId="15" applyAlignment="1" pivotButton="0" quotePrefix="0" xfId="0">
      <alignment horizontal="center"/>
    </xf>
    <xf numFmtId="164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7" applyAlignment="1" pivotButton="0" quotePrefix="0" xfId="0">
      <alignment wrapText="1"/>
    </xf>
    <xf numFmtId="0" fontId="8" fillId="0" borderId="9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wrapText="1"/>
    </xf>
    <xf numFmtId="0" fontId="7" fillId="2" borderId="15" pivotButton="0" quotePrefix="0" xfId="0"/>
    <xf numFmtId="0" fontId="7" fillId="2" borderId="3" pivotButton="0" quotePrefix="0" xfId="0"/>
    <xf numFmtId="0" fontId="7" fillId="2" borderId="4" pivotButton="0" quotePrefix="0" xfId="0"/>
    <xf numFmtId="164" fontId="9" fillId="0" borderId="7" pivotButton="0" quotePrefix="0" xfId="0"/>
    <xf numFmtId="164" fontId="10" fillId="4" borderId="7" pivotButton="0" quotePrefix="0" xfId="0"/>
    <xf numFmtId="3" fontId="5" fillId="0" borderId="10" pivotButton="0" quotePrefix="0" xfId="0"/>
    <xf numFmtId="0" fontId="5" fillId="0" borderId="10" pivotButton="0" quotePrefix="0" xfId="0"/>
    <xf numFmtId="164" fontId="5" fillId="0" borderId="10" pivotButton="0" quotePrefix="0" xfId="0"/>
    <xf numFmtId="0" fontId="11" fillId="2" borderId="0" pivotButton="0" quotePrefix="0" xfId="0"/>
    <xf numFmtId="164" fontId="8" fillId="0" borderId="0" pivotButton="0" quotePrefix="0" xfId="1"/>
    <xf numFmtId="0" fontId="7" fillId="2" borderId="15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  <xf numFmtId="0" fontId="14" fillId="7" borderId="0" pivotButton="0" quotePrefix="0" xfId="0"/>
    <xf numFmtId="0" fontId="15" fillId="5" borderId="0" pivotButton="0" quotePrefix="0" xfId="0"/>
    <xf numFmtId="0" fontId="15" fillId="5" borderId="0" applyAlignment="1" pivotButton="0" quotePrefix="0" xfId="0">
      <alignment wrapText="1"/>
    </xf>
    <xf numFmtId="164" fontId="15" fillId="5" borderId="0" pivotButton="0" quotePrefix="0" xfId="1"/>
    <xf numFmtId="0" fontId="16" fillId="6" borderId="0" pivotButton="0" quotePrefix="0" xfId="0"/>
    <xf numFmtId="0" fontId="16" fillId="6" borderId="0" applyAlignment="1" pivotButton="0" quotePrefix="0" xfId="0">
      <alignment wrapText="1"/>
    </xf>
    <xf numFmtId="164" fontId="16" fillId="6" borderId="0" pivotButton="0" quotePrefix="0" xfId="1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17" fillId="7" borderId="0" pivotButton="0" quotePrefix="0" xfId="1"/>
    <xf numFmtId="0" fontId="9" fillId="0" borderId="17" pivotButton="0" quotePrefix="0" xfId="0"/>
    <xf numFmtId="0" fontId="9" fillId="0" borderId="18" pivotButton="0" quotePrefix="0" xfId="0"/>
    <xf numFmtId="164" fontId="9" fillId="0" borderId="18" pivotButton="0" quotePrefix="0" xfId="1"/>
    <xf numFmtId="164" fontId="9" fillId="0" borderId="19" pivotButton="0" quotePrefix="0" xfId="1"/>
    <xf numFmtId="164" fontId="9" fillId="0" borderId="7" pivotButton="0" quotePrefix="0" xfId="1"/>
    <xf numFmtId="164" fontId="9" fillId="0" borderId="8" pivotButton="0" quotePrefix="0" xfId="1"/>
    <xf numFmtId="0" fontId="10" fillId="4" borderId="20" pivotButton="0" quotePrefix="0" xfId="0"/>
    <xf numFmtId="0" fontId="10" fillId="4" borderId="21" pivotButton="0" quotePrefix="0" xfId="0"/>
    <xf numFmtId="164" fontId="10" fillId="4" borderId="21" pivotButton="0" quotePrefix="0" xfId="1"/>
    <xf numFmtId="164" fontId="10" fillId="4" borderId="22" pivotButton="0" quotePrefix="0" xfId="1"/>
    <xf numFmtId="164" fontId="8" fillId="8" borderId="7" pivotButton="0" quotePrefix="0" xfId="1"/>
    <xf numFmtId="164" fontId="8" fillId="5" borderId="7" pivotButton="0" quotePrefix="0" xfId="1"/>
    <xf numFmtId="164" fontId="9" fillId="7" borderId="8" pivotButton="0" quotePrefix="0" xfId="1"/>
    <xf numFmtId="0" fontId="18" fillId="2" borderId="9" pivotButton="0" quotePrefix="0" xfId="0"/>
    <xf numFmtId="0" fontId="18" fillId="2" borderId="10" pivotButton="0" quotePrefix="0" xfId="0"/>
    <xf numFmtId="164" fontId="18" fillId="2" borderId="10" pivotButton="0" quotePrefix="0" xfId="1"/>
    <xf numFmtId="164" fontId="18" fillId="2" borderId="10" pivotButton="0" quotePrefix="0" xfId="0"/>
    <xf numFmtId="164" fontId="18" fillId="2" borderId="11" pivotButton="0" quotePrefix="0" xfId="1"/>
    <xf numFmtId="0" fontId="11" fillId="9" borderId="13" pivotButton="0" quotePrefix="0" xfId="0"/>
    <xf numFmtId="0" fontId="11" fillId="9" borderId="1" pivotButton="0" quotePrefix="0" xfId="0"/>
    <xf numFmtId="0" fontId="11" fillId="9" borderId="12" pivotButton="0" quotePrefix="0" xfId="0"/>
    <xf numFmtId="0" fontId="5" fillId="0" borderId="13" pivotButton="0" quotePrefix="0" xfId="0"/>
    <xf numFmtId="0" fontId="5" fillId="0" borderId="12" pivotButton="0" quotePrefix="0" xfId="0"/>
    <xf numFmtId="0" fontId="7" fillId="2" borderId="4" applyAlignment="1" pivotButton="0" quotePrefix="0" xfId="0">
      <alignment wrapText="1"/>
    </xf>
    <xf numFmtId="0" fontId="7" fillId="2" borderId="5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0" fontId="19" fillId="8" borderId="0" pivotButton="0" quotePrefix="0" xfId="0"/>
    <xf numFmtId="0" fontId="8" fillId="8" borderId="0" pivotButton="0" quotePrefix="0" xfId="0"/>
    <xf numFmtId="0" fontId="19" fillId="8" borderId="23" pivotButton="0" quotePrefix="0" xfId="0"/>
    <xf numFmtId="0" fontId="8" fillId="8" borderId="23" pivotButton="0" quotePrefix="0" xfId="0"/>
    <xf numFmtId="0" fontId="3" fillId="0" borderId="0" applyAlignment="1" pivotButton="0" quotePrefix="0" xfId="0">
      <alignment wrapText="1"/>
    </xf>
    <xf numFmtId="0" fontId="8" fillId="3" borderId="7" applyAlignment="1" pivotButton="0" quotePrefix="0" xfId="0">
      <alignment wrapText="1"/>
    </xf>
    <xf numFmtId="0" fontId="7" fillId="2" borderId="7" pivotButton="0" quotePrefix="0" xfId="0"/>
    <xf numFmtId="0" fontId="7" fillId="2" borderId="7" applyAlignment="1" pivotButton="0" quotePrefix="0" xfId="0">
      <alignment wrapText="1"/>
    </xf>
    <xf numFmtId="3" fontId="8" fillId="3" borderId="7" pivotButton="0" quotePrefix="0" xfId="0"/>
    <xf numFmtId="2" fontId="8" fillId="0" borderId="7" pivotButton="0" quotePrefix="0" xfId="0"/>
    <xf numFmtId="0" fontId="6" fillId="10" borderId="7" pivotButton="0" quotePrefix="0" xfId="0"/>
    <xf numFmtId="0" fontId="6" fillId="10" borderId="7" applyAlignment="1" pivotButton="0" quotePrefix="0" xfId="0">
      <alignment wrapText="1"/>
    </xf>
    <xf numFmtId="0" fontId="1" fillId="11" borderId="11" pivotButton="0" quotePrefix="0" xfId="0"/>
    <xf numFmtId="0" fontId="1" fillId="11" borderId="11" applyAlignment="1" pivotButton="0" quotePrefix="0" xfId="0">
      <alignment wrapText="1"/>
    </xf>
    <xf numFmtId="164" fontId="1" fillId="11" borderId="11" pivotButton="0" quotePrefix="0" xfId="0"/>
    <xf numFmtId="0" fontId="1" fillId="0" borderId="11" pivotButton="0" quotePrefix="0" xfId="0"/>
    <xf numFmtId="0" fontId="1" fillId="0" borderId="11" applyAlignment="1" pivotButton="0" quotePrefix="0" xfId="0">
      <alignment wrapText="1"/>
    </xf>
    <xf numFmtId="164" fontId="1" fillId="0" borderId="11" pivotButton="0" quotePrefix="0" xfId="0"/>
    <xf numFmtId="0" fontId="1" fillId="0" borderId="24" pivotButton="0" quotePrefix="0" xfId="0"/>
    <xf numFmtId="0" fontId="1" fillId="0" borderId="24" applyAlignment="1" pivotButton="0" quotePrefix="0" xfId="0">
      <alignment wrapText="1"/>
    </xf>
    <xf numFmtId="164" fontId="1" fillId="0" borderId="24" pivotButton="0" quotePrefix="0" xfId="0"/>
    <xf numFmtId="0" fontId="1" fillId="11" borderId="2" pivotButton="0" quotePrefix="0" xfId="0"/>
    <xf numFmtId="0" fontId="1" fillId="0" borderId="2" pivotButton="0" quotePrefix="0" xfId="0"/>
    <xf numFmtId="0" fontId="1" fillId="0" borderId="25" pivotButton="0" quotePrefix="0" xfId="0"/>
    <xf numFmtId="0" fontId="1" fillId="11" borderId="0" pivotButton="0" quotePrefix="0" xfId="0"/>
    <xf numFmtId="0" fontId="1" fillId="11" borderId="16" pivotButton="0" quotePrefix="0" xfId="0"/>
    <xf numFmtId="0" fontId="1" fillId="11" borderId="16" applyAlignment="1" pivotButton="0" quotePrefix="0" xfId="0">
      <alignment wrapText="1"/>
    </xf>
    <xf numFmtId="164" fontId="1" fillId="11" borderId="16" pivotButton="0" quotePrefix="0" xfId="0"/>
    <xf numFmtId="0" fontId="7" fillId="2" borderId="26" applyAlignment="1" pivotButton="0" quotePrefix="0" xfId="0">
      <alignment horizontal="center"/>
    </xf>
    <xf numFmtId="0" fontId="7" fillId="2" borderId="26" applyAlignment="1" pivotButton="0" quotePrefix="0" xfId="0">
      <alignment horizontal="center" wrapText="1"/>
    </xf>
    <xf numFmtId="0" fontId="4" fillId="2" borderId="16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0" borderId="16" pivotButton="0" quotePrefix="0" xfId="0"/>
    <xf numFmtId="0" fontId="5" fillId="0" borderId="0" pivotButton="0" quotePrefix="0" xfId="0"/>
    <xf numFmtId="0" fontId="7" fillId="2" borderId="16" pivotButton="0" quotePrefix="0" xfId="0"/>
    <xf numFmtId="0" fontId="7" fillId="2" borderId="0" pivotButton="0" quotePrefix="0" xfId="0"/>
    <xf numFmtId="0" fontId="9" fillId="3" borderId="16" pivotButton="0" quotePrefix="0" xfId="0"/>
    <xf numFmtId="0" fontId="9" fillId="3" borderId="0" pivotButton="0" quotePrefix="0" xfId="0"/>
    <xf numFmtId="165" fontId="5" fillId="0" borderId="0" applyAlignment="1" pivotButton="0" quotePrefix="0" xfId="0">
      <alignment horizontal="right"/>
    </xf>
    <xf numFmtId="165" fontId="20" fillId="4" borderId="27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5" fillId="0" borderId="0" pivotButton="0" quotePrefix="0" xfId="0"/>
    <xf numFmtId="0" fontId="22" fillId="2" borderId="0" pivotButton="0" quotePrefix="0" xfId="0"/>
    <xf numFmtId="0" fontId="2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0" fillId="3" borderId="7" pivotButton="0" quotePrefix="0" xfId="0"/>
    <xf numFmtId="0" fontId="19" fillId="3" borderId="7" pivotButton="0" quotePrefix="0" xfId="0"/>
    <xf numFmtId="3" fontId="23" fillId="3" borderId="7" applyAlignment="1" pivotButton="0" quotePrefix="0" xfId="0">
      <alignment horizontal="right"/>
    </xf>
    <xf numFmtId="0" fontId="24" fillId="3" borderId="0" pivotButton="0" quotePrefix="0" xfId="0"/>
    <xf numFmtId="2" fontId="8" fillId="3" borderId="7" applyAlignment="1" pivotButton="0" quotePrefix="0" xfId="0">
      <alignment horizontal="right"/>
    </xf>
    <xf numFmtId="164" fontId="8" fillId="0" borderId="7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8" fillId="3" borderId="7" applyAlignment="1" pivotButton="0" quotePrefix="0" xfId="0">
      <alignment horizontal="right"/>
    </xf>
    <xf numFmtId="164" fontId="10" fillId="4" borderId="7" applyAlignment="1" pivotButton="0" quotePrefix="0" xfId="0">
      <alignment horizontal="right"/>
    </xf>
    <xf numFmtId="164" fontId="10" fillId="4" borderId="8" applyAlignment="1" pivotButton="0" quotePrefix="0" xfId="0">
      <alignment horizontal="right"/>
    </xf>
    <xf numFmtId="164" fontId="20" fillId="4" borderId="27" applyAlignment="1" pivotButton="0" quotePrefix="0" xfId="0">
      <alignment horizontal="right"/>
    </xf>
    <xf numFmtId="0" fontId="0" fillId="0" borderId="28" pivotButton="0" quotePrefix="0" xfId="0"/>
    <xf numFmtId="0" fontId="0" fillId="0" borderId="6" pivotButton="0" quotePrefix="0" xfId="0"/>
    <xf numFmtId="164" fontId="8" fillId="0" borderId="7" pivotButton="0" quotePrefix="0" xfId="1"/>
    <xf numFmtId="164" fontId="8" fillId="0" borderId="7" pivotButton="0" quotePrefix="0" xfId="0"/>
    <xf numFmtId="164" fontId="8" fillId="0" borderId="8" pivotButton="0" quotePrefix="0" xfId="0"/>
    <xf numFmtId="164" fontId="9" fillId="4" borderId="10" pivotButton="0" quotePrefix="0" xfId="1"/>
    <xf numFmtId="164" fontId="9" fillId="4" borderId="10" pivotButton="0" quotePrefix="0" xfId="0"/>
    <xf numFmtId="164" fontId="9" fillId="4" borderId="11" pivotButton="0" quotePrefix="0" xfId="0"/>
    <xf numFmtId="164" fontId="1" fillId="11" borderId="16" pivotButton="0" quotePrefix="0" xfId="0"/>
    <xf numFmtId="164" fontId="1" fillId="0" borderId="11" pivotButton="0" quotePrefix="0" xfId="0"/>
    <xf numFmtId="164" fontId="1" fillId="11" borderId="11" pivotButton="0" quotePrefix="0" xfId="0"/>
    <xf numFmtId="164" fontId="1" fillId="0" borderId="24" pivotButton="0" quotePrefix="0" xfId="0"/>
    <xf numFmtId="164" fontId="9" fillId="0" borderId="7" pivotButton="0" quotePrefix="0" xfId="0"/>
    <xf numFmtId="164" fontId="10" fillId="4" borderId="7" pivotButton="0" quotePrefix="0" xfId="0"/>
    <xf numFmtId="164" fontId="5" fillId="0" borderId="10" pivotButton="0" quotePrefix="0" xfId="0"/>
    <xf numFmtId="164" fontId="8" fillId="0" borderId="0" pivotButton="0" quotePrefix="0" xfId="1"/>
    <xf numFmtId="164" fontId="15" fillId="5" borderId="0" pivotButton="0" quotePrefix="0" xfId="1"/>
    <xf numFmtId="164" fontId="8" fillId="0" borderId="0" pivotButton="0" quotePrefix="0" xfId="0"/>
    <xf numFmtId="164" fontId="16" fillId="6" borderId="0" pivotButton="0" quotePrefix="0" xfId="1"/>
    <xf numFmtId="164" fontId="17" fillId="7" borderId="0" pivotButton="0" quotePrefix="0" xfId="1"/>
    <xf numFmtId="164" fontId="0" fillId="0" borderId="0" pivotButton="0" quotePrefix="0" xfId="1"/>
    <xf numFmtId="164" fontId="9" fillId="0" borderId="18" pivotButton="0" quotePrefix="0" xfId="1"/>
    <xf numFmtId="164" fontId="9" fillId="0" borderId="19" pivotButton="0" quotePrefix="0" xfId="1"/>
    <xf numFmtId="164" fontId="9" fillId="0" borderId="7" pivotButton="0" quotePrefix="0" xfId="1"/>
    <xf numFmtId="164" fontId="9" fillId="0" borderId="8" pivotButton="0" quotePrefix="0" xfId="1"/>
    <xf numFmtId="164" fontId="10" fillId="4" borderId="21" pivotButton="0" quotePrefix="0" xfId="1"/>
    <xf numFmtId="164" fontId="10" fillId="4" borderId="22" pivotButton="0" quotePrefix="0" xfId="1"/>
    <xf numFmtId="164" fontId="8" fillId="8" borderId="7" pivotButton="0" quotePrefix="0" xfId="1"/>
    <xf numFmtId="164" fontId="8" fillId="5" borderId="7" pivotButton="0" quotePrefix="0" xfId="1"/>
    <xf numFmtId="164" fontId="9" fillId="7" borderId="8" pivotButton="0" quotePrefix="0" xfId="1"/>
    <xf numFmtId="164" fontId="18" fillId="2" borderId="10" pivotButton="0" quotePrefix="0" xfId="1"/>
    <xf numFmtId="164" fontId="18" fillId="2" borderId="10" pivotButton="0" quotePrefix="0" xfId="0"/>
    <xf numFmtId="164" fontId="18" fillId="2" borderId="11" pivotButton="0" quotePrefix="0" xfId="1"/>
    <xf numFmtId="0" fontId="11" fillId="9" borderId="29" pivotButton="0" quotePrefix="0" xfId="0"/>
    <xf numFmtId="0" fontId="0" fillId="0" borderId="32" pivotButton="0" quotePrefix="0" xfId="0"/>
    <xf numFmtId="0" fontId="0" fillId="0" borderId="12" pivotButton="0" quotePrefix="0" xfId="0"/>
    <xf numFmtId="0" fontId="5" fillId="0" borderId="29" pivotButton="0" quotePrefix="0" xfId="0"/>
  </cellXfs>
  <cellStyles count="2">
    <cellStyle name="Normal" xfId="0" builtinId="0"/>
    <cellStyle name="Moneda" xfId="1" builtinId="4"/>
  </cellStyles>
  <dxfs count="71">
    <dxf>
      <font>
        <b val="1"/>
        <color rgb="FF856404"/>
      </font>
      <fill>
        <patternFill patternType="solid">
          <fgColor indexed="64"/>
          <bgColor rgb="FFFFF3CD"/>
        </patternFill>
      </fill>
    </dxf>
    <dxf>
      <font>
        <b val="1"/>
        <color rgb="FF0C5460"/>
      </font>
      <fill>
        <patternFill patternType="solid">
          <fgColor indexed="64"/>
          <bgColor rgb="FFD1ECF1"/>
        </patternFill>
      </fill>
    </dxf>
    <dxf>
      <font>
        <b val="1"/>
        <color rgb="FF856404"/>
      </font>
      <fill>
        <patternFill patternType="solid">
          <fgColor indexed="64"/>
          <bgColor rgb="FFFFF3CD"/>
        </patternFill>
      </fill>
    </dxf>
    <dxf>
      <font>
        <b val="1"/>
        <color rgb="FF0C5460"/>
      </font>
      <fill>
        <patternFill patternType="solid">
          <fgColor indexed="64"/>
          <bgColor rgb="FFD1ECF1"/>
        </patternFill>
      </fill>
    </dxf>
    <dxf>
      <border>
        <bottom style="medium">
          <color rgb="FF1E3C72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2"/>
        <vertAlign val="baseline"/>
        <scheme val="minor"/>
      </font>
      <fill>
        <patternFill patternType="solid">
          <fgColor indexed="64"/>
          <bgColor rgb="FF1E3C72"/>
        </patternFill>
      </fill>
      <alignment horizontal="center" vertical="bottom"/>
      <border>
        <left style="thin">
          <color rgb="FFBFBFBF"/>
        </left>
        <right style="thin">
          <color rgb="FFBFBFBF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rgb="FFBFBFBF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name val="Calibri"/>
        <b val="1"/>
        <color rgb="FFFFFFFF"/>
        <sz val="12"/>
      </font>
      <fill>
        <patternFill patternType="solid">
          <fgColor indexed="64"/>
          <bgColor rgb="FF1E3C72"/>
        </patternFill>
      </fill>
      <border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alignment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alignment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>
        <bottom style="thin">
          <color rgb="FFBFBFB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z val="11"/>
      </font>
    </dxf>
    <dxf>
      <font>
        <name val="Calibri"/>
        <b val="1"/>
        <color rgb="FFFFFFFF"/>
        <sz val="12"/>
      </font>
      <fill>
        <patternFill patternType="solid">
          <fgColor indexed="64"/>
          <bgColor rgb="FF1E3C72"/>
        </patternFill>
      </fill>
      <alignment horizontal="center"/>
      <border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>
        <bottom style="thin">
          <color rgb="FFBFBFBF"/>
        </bottom>
      </border>
    </dxf>
    <dxf>
      <border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z val="11"/>
      </font>
      <alignment wrapText="1"/>
    </dxf>
    <dxf>
      <font>
        <name val="Calibri"/>
        <sz val="11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z val="11"/>
      </font>
    </dxf>
    <dxf>
      <font>
        <name val="Calibri"/>
        <sz val="11"/>
      </font>
    </dxf>
    <dxf>
      <font>
        <name val="Calibri"/>
        <sz val="11"/>
      </font>
    </dxf>
    <dxf>
      <font>
        <name val="Calibri"/>
        <sz val="11"/>
      </font>
    </dxf>
    <dxf>
      <border>
        <bottom style="medium">
          <color rgb="FF1E3C72"/>
        </bottom>
      </border>
    </dxf>
    <dxf>
      <font>
        <name val="Calibri"/>
        <b val="1"/>
        <color rgb="FFFFFFFF"/>
        <sz val="12"/>
      </font>
      <fill>
        <patternFill patternType="solid">
          <fgColor indexed="64"/>
          <bgColor rgb="FF1E3C72"/>
        </patternFill>
      </fill>
    </dxf>
    <dxf>
      <font>
        <name val="Calibri"/>
        <b val="1"/>
        <color rgb="FFFFFFFF"/>
        <sz val="12"/>
      </font>
      <fill>
        <patternFill patternType="solid">
          <fgColor indexed="64"/>
          <bgColor rgb="FF1E3C72"/>
        </patternFill>
      </fill>
      <alignment horizontal="center"/>
      <border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name val="Calibri"/>
        <sz val="11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>
        <bottom style="thin">
          <color rgb="FFBFBFB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Capitulos" displayName="TablaCapitulos" ref="A1:J8" headerRowCount="1" totalsRowShown="0" headerRowDxfId="56" dataDxfId="70" headerRowBorderDxfId="68" tableBorderDxfId="69" totalsRowBorderDxfId="67" dataCellStyle="Moneda">
  <autoFilter ref="A1:J8"/>
  <tableColumns count="10">
    <tableColumn id="1" name="CAPÍTULO" dataDxfId="66"/>
    <tableColumn id="2" name="NOMBRE" dataDxfId="65"/>
    <tableColumn id="3" name="SUMINISTROS" dataDxfId="64" dataCellStyle="Moneda"/>
    <tableColumn id="4" name="OBRA CIVIL" dataDxfId="63" dataCellStyle="Moneda"/>
    <tableColumn id="5" name="SERVICIOS" dataDxfId="62"/>
    <tableColumn id="6" name="COSTO DIRECTO" dataDxfId="61" dataCellStyle="Moneda"/>
    <tableColumn id="7" name="AIU 33% OBRA" dataDxfId="60"/>
    <tableColumn id="8" name="IVA" dataDxfId="59" dataCellStyle="Moneda"/>
    <tableColumn id="9" name="TOTAL CAP (COP)" dataDxfId="58" dataCellStyle="Moneda"/>
    <tableColumn id="10" name="TOTAL CAP (USD)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2:J136" headerRowCount="1" totalsRowShown="0" headerRowDxfId="5" dataDxfId="8" headerRowBorderDxfId="4" tableBorderDxfId="17">
  <autoFilter ref="A2:J136"/>
  <tableColumns count="10">
    <tableColumn id="1" name="Capítulo" dataDxfId="16"/>
    <tableColumn id="2" name="SUB CAP" dataDxfId="15"/>
    <tableColumn id="3" name="ÍTEM" dataDxfId="14"/>
    <tableColumn id="4" name="DESCRIPCIÓN" dataDxfId="13"/>
    <tableColumn id="5" name="TIPO" dataDxfId="12"/>
    <tableColumn id="6" name="UNIDAD" dataDxfId="11"/>
    <tableColumn id="7" name="CANTIDAD" dataDxfId="10"/>
    <tableColumn id="8" name="VU (COP)" dataDxfId="9"/>
    <tableColumn id="9" name="TOTAL (COP)" dataDxfId="7">
      <calculatedColumnFormula>Tabla2[[#This Row],[VU (COP)]]*Tabla2[[#This Row],[CANTIDAD]]</calculatedColumnFormula>
    </tableColumn>
    <tableColumn id="10" name="TOTAL (USD)" dataDxfId="6">
      <calculatedColumnFormula>Tabla2[[#This Row],[TOTAL (COP)]]/$M$1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blaObraCompras" displayName="TablaObraCompras" ref="A4:G142" headerRowCount="1" totalsRowShown="0" headerRowDxfId="55" dataDxfId="47" headerRowBorderDxfId="54">
  <autoFilter ref="A4:G142"/>
  <tableColumns count="7">
    <tableColumn id="1" name="TIPO" dataDxfId="53"/>
    <tableColumn id="2" name="ÍTEM" dataDxfId="52"/>
    <tableColumn id="3" name="DESCRIPCIÓN" dataDxfId="46"/>
    <tableColumn id="4" name="UND" dataDxfId="51"/>
    <tableColumn id="5" name="CANT" dataDxfId="50"/>
    <tableColumn id="6" name="VU (COP)" dataDxfId="49" dataCellStyle="Moneda"/>
    <tableColumn id="7" name="TOTAL (COP)" dataDxfId="48" dataCellStyle="Mone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AIU" displayName="TablaAIU" ref="A4:L11" headerRowCount="1" totalsRowShown="0" headerRowDxfId="29" dataDxfId="45" headerRowBorderDxfId="43" tableBorderDxfId="44" totalsRowBorderDxfId="42" dataCellStyle="Moneda">
  <autoFilter ref="A4:L11"/>
  <tableColumns count="12">
    <tableColumn id="1" name="CAP" dataDxfId="41"/>
    <tableColumn id="2" name="NOMBRE" dataDxfId="40"/>
    <tableColumn id="3" name="CD" dataDxfId="39" dataCellStyle="Moneda"/>
    <tableColumn id="4" name="Adm 23%" dataDxfId="38" dataCellStyle="Moneda"/>
    <tableColumn id="5" name="Imp 5%" dataDxfId="37" dataCellStyle="Moneda"/>
    <tableColumn id="6" name="Util 5%" dataDxfId="36" dataCellStyle="Moneda"/>
    <tableColumn id="7" name="AIU Total" dataDxfId="35" dataCellStyle="Moneda"/>
    <tableColumn id="8" name="IVA Sum" dataDxfId="34" dataCellStyle="Moneda"/>
    <tableColumn id="9" name="IVA Serv" dataDxfId="33" dataCellStyle="Moneda"/>
    <tableColumn id="10" name="IVA Util" dataDxfId="32" dataCellStyle="Moneda"/>
    <tableColumn id="11" name="IVA Total" dataDxfId="31" dataCellStyle="Moneda"/>
    <tableColumn id="12" name="TOTAL CAP" dataDxfId="30" dataCellStyle="Moned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aRFQ" displayName="TablaRFQ" ref="A4:F13" headerRowCount="1" totalsRowShown="0" headerRowDxfId="18" dataDxfId="28" headerRowBorderDxfId="26" tableBorderDxfId="27" totalsRowBorderDxfId="25">
  <autoFilter ref="A4:F13"/>
  <tableColumns count="6">
    <tableColumn id="1" name="ÍTEM WBS" dataDxfId="24"/>
    <tableColumn id="2" name="CONCEPTO" dataDxfId="23"/>
    <tableColumn id="3" name="VU ACTUAL" dataDxfId="22"/>
    <tableColumn id="4" name="FUENTE" dataDxfId="21"/>
    <tableColumn id="5" name="ESTADO" dataDxfId="20"/>
    <tableColumn id="6" name="PROVEEDORES PRIORIZADOS" dataDxfId="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topLeftCell="A8" workbookViewId="0">
      <pane ySplit="2" topLeftCell="A10" activePane="bottomLeft" state="frozen"/>
      <selection activeCell="A8" sqref="A8"/>
      <selection pane="bottomLeft" activeCell="F19" sqref="F19"/>
    </sheetView>
  </sheetViews>
  <sheetFormatPr baseColWidth="10" defaultRowHeight="15"/>
  <cols>
    <col width="46.625" customWidth="1" min="1" max="1"/>
    <col width="3.375" customWidth="1" min="2" max="2"/>
    <col width="25.875" customWidth="1" min="3" max="3"/>
    <col width="21.625" customWidth="1" min="4" max="4"/>
    <col width="23.375" customWidth="1" min="5" max="5"/>
  </cols>
  <sheetData>
    <row r="1" ht="32.1" customHeight="1">
      <c r="A1" s="125" t="inlineStr">
        <is>
          <t>PRESUPUESTO SCC — APP LA DORADA-CHIRIGUANÁ (UF2)</t>
        </is>
      </c>
    </row>
    <row r="2" ht="15.75" customHeight="1">
      <c r="A2" s="127" t="inlineStr">
        <is>
          <t>Contrato APP No. 001 de 2025  |  SICC v14.7 BCD-aligned  |  Generado: 5/5/2026, 10:08:25 a. m.</t>
        </is>
      </c>
    </row>
    <row r="3" ht="15.75" customHeight="1">
      <c r="A3" s="6" t="n"/>
      <c r="B3" s="6" t="n"/>
      <c r="C3" s="6" t="n"/>
      <c r="D3" s="6" t="n"/>
      <c r="E3" s="135" t="inlineStr">
        <is>
          <t>USD @ TRM real 3,637</t>
        </is>
      </c>
    </row>
    <row r="4" ht="24" customHeight="1">
      <c r="A4" s="129" t="inlineStr">
        <is>
          <t>TOTAL GENERAL PROYECTO</t>
        </is>
      </c>
    </row>
    <row r="5" ht="15.75" customHeight="1">
      <c r="A5" s="18" t="inlineStr">
        <is>
          <t>Costo Directo</t>
        </is>
      </c>
      <c r="B5" s="9" t="inlineStr"/>
      <c r="C5" s="145" t="n">
        <v>211191318560</v>
      </c>
      <c r="D5" s="145" t="n">
        <v>47998027</v>
      </c>
      <c r="E5" s="146">
        <f>C5/3637</f>
        <v/>
      </c>
    </row>
    <row r="6" ht="15.75" customHeight="1">
      <c r="A6" s="19" t="inlineStr">
        <is>
          <t>AIU 33% sobre Obra Civil</t>
        </is>
      </c>
      <c r="B6" s="11" t="inlineStr"/>
      <c r="C6" s="147" t="n">
        <v>19186009747</v>
      </c>
      <c r="D6" s="147" t="n">
        <v>4360457</v>
      </c>
      <c r="E6" s="146">
        <f>C6/3637</f>
        <v/>
      </c>
    </row>
    <row r="7" ht="16.5" customHeight="1" thickBot="1">
      <c r="A7" s="18" t="inlineStr">
        <is>
          <t>IVA Total</t>
        </is>
      </c>
      <c r="B7" s="9" t="inlineStr"/>
      <c r="C7" s="145" t="n">
        <v>29632184590</v>
      </c>
      <c r="D7" s="145" t="n">
        <v>6734587</v>
      </c>
      <c r="E7" s="146">
        <f>C7/3637</f>
        <v/>
      </c>
    </row>
    <row r="8" ht="16.5" customHeight="1" thickBot="1">
      <c r="A8" s="13" t="inlineStr">
        <is>
          <t>TOTAL PROYECTO</t>
        </is>
      </c>
      <c r="B8" s="13" t="inlineStr"/>
      <c r="C8" s="148" t="n">
        <v>260009512897</v>
      </c>
      <c r="D8" s="149" t="n">
        <v>59093071</v>
      </c>
      <c r="E8" s="150">
        <f>C8/3637</f>
        <v/>
      </c>
    </row>
    <row r="9" ht="15.75" customHeight="1">
      <c r="A9" s="6" t="n"/>
      <c r="B9" s="6" t="n"/>
      <c r="C9" s="6" t="n"/>
      <c r="D9" s="6" t="n"/>
    </row>
    <row r="10" ht="24" customHeight="1">
      <c r="A10" s="129" t="inlineStr">
        <is>
          <t>DESGLOSE POR COMPONENTE</t>
        </is>
      </c>
    </row>
    <row r="11" ht="15.75" customHeight="1">
      <c r="A11" s="18" t="inlineStr">
        <is>
          <t>Total Suministros</t>
        </is>
      </c>
      <c r="B11" s="9" t="inlineStr"/>
      <c r="C11" s="145" t="n">
        <v>148755895087</v>
      </c>
      <c r="D11" s="145" t="n">
        <v>33808158</v>
      </c>
      <c r="E11" s="146">
        <f>C11/3637</f>
        <v/>
      </c>
    </row>
    <row r="12" ht="15.75" customHeight="1">
      <c r="A12" s="19" t="inlineStr">
        <is>
          <t>Total Obra Civil</t>
        </is>
      </c>
      <c r="B12" s="11" t="inlineStr"/>
      <c r="C12" s="147" t="n">
        <v>58139423473</v>
      </c>
      <c r="D12" s="147" t="n">
        <v>13213505</v>
      </c>
      <c r="E12" s="146">
        <f>C12/3637</f>
        <v/>
      </c>
    </row>
    <row r="13" ht="15.75" customHeight="1">
      <c r="A13" s="18" t="inlineStr">
        <is>
          <t>Total Servicios</t>
        </is>
      </c>
      <c r="B13" s="9" t="inlineStr"/>
      <c r="C13" s="145" t="n">
        <v>4296000000</v>
      </c>
      <c r="D13" s="145" t="n">
        <v>976364</v>
      </c>
      <c r="E13" s="146">
        <f>C13/3637</f>
        <v/>
      </c>
    </row>
    <row r="14" ht="24" customHeight="1">
      <c r="A14" s="101" t="n"/>
      <c r="B14" s="151" t="n"/>
      <c r="C14" s="151" t="n"/>
      <c r="D14" s="152" t="n"/>
    </row>
    <row r="15" ht="15.75" customHeight="1">
      <c r="A15" s="131" t="inlineStr">
        <is>
          <t>CONVERSIÓN MONETARIA</t>
        </is>
      </c>
    </row>
    <row r="16" ht="15.75" customHeight="1">
      <c r="A16" s="18" t="inlineStr">
        <is>
          <t>TRM Risk (COP/USD)</t>
        </is>
      </c>
      <c r="B16" s="9" t="inlineStr"/>
      <c r="C16" s="16" t="n">
        <v>4400</v>
      </c>
      <c r="D16" s="21" t="n"/>
    </row>
    <row r="17" ht="15.75" customHeight="1">
      <c r="A17" s="19" t="inlineStr">
        <is>
          <t>EUR/USD (paridad ECB)</t>
        </is>
      </c>
      <c r="B17" s="11" t="inlineStr"/>
      <c r="C17" s="144" t="n">
        <v>1.09</v>
      </c>
      <c r="D17" s="20" t="n"/>
    </row>
    <row r="18" ht="24" customHeight="1">
      <c r="A18" s="140" t="inlineStr">
        <is>
          <t>EUR/COP cruzada</t>
        </is>
      </c>
      <c r="B18" s="141" t="n"/>
      <c r="C18" s="142">
        <f>C16*C17</f>
        <v/>
      </c>
      <c r="D18" s="141" t="n"/>
      <c r="E18" s="143" t="n"/>
    </row>
    <row r="19" ht="15.75" customHeight="1">
      <c r="A19" s="17" t="n"/>
      <c r="B19" s="151" t="n"/>
      <c r="C19" s="151" t="n"/>
      <c r="D19" s="152" t="n"/>
    </row>
    <row r="20" ht="15.75" customHeight="1">
      <c r="A20" s="127" t="inlineStr">
        <is>
          <t>NOTAS</t>
        </is>
      </c>
    </row>
    <row r="21" ht="15.75" customHeight="1">
      <c r="A21" s="127" t="inlineStr">
        <is>
          <t>(1) TRM Risk = techo de cobertura cambiaria. TRM real ~3,637 al 2026-05-05. Margen ~+21%.</t>
        </is>
      </c>
    </row>
    <row r="22" ht="15.75" customHeight="1">
      <c r="A22" s="127" t="inlineStr">
        <is>
          <t>(2) AIU = Adm 23% + Imprevistos 5% + Utilidad 5% sobre Obra Civil.</t>
        </is>
      </c>
    </row>
    <row r="23" ht="15.75" customHeight="1">
      <c r="A23" s="127" t="inlineStr">
        <is>
          <t>(3) IVA = 19% Suministros + 19% Servicios + 19% sobre 5% Utilidad de Obra.</t>
        </is>
      </c>
    </row>
    <row r="24" ht="15.75" customHeight="1">
      <c r="A24" t="inlineStr">
        <is>
          <t>(4) Línea base alineada a BCD v001 SCC (Ardanuy, abril 2026) y DT-COMS-2026-007 (precios ADIF).</t>
        </is>
      </c>
    </row>
    <row r="25" ht="15.75" customHeight="1"/>
    <row r="26" ht="24" customHeight="1">
      <c r="A26" s="137" t="inlineStr">
        <is>
          <t>EXPOSICIÓN CAMBIARIA</t>
        </is>
      </c>
    </row>
    <row r="27" ht="15.75" customHeight="1">
      <c r="A27" s="138" t="inlineStr">
        <is>
          <t>TRM Risk 4,400 incorpora margen ~+21% vs TRM real 3,637. La columna USD@3,637 muestra el equivalente sin colchón.</t>
        </is>
      </c>
    </row>
    <row r="28" ht="15.75" customHeight="1">
      <c r="A28" s="138" t="inlineStr">
        <is>
          <t>Comparativo Ardanuy CAPEX: $66.4M USD @ TRM ~3,800 (consultor de diseño).</t>
        </is>
      </c>
    </row>
    <row r="29" ht="15.75" customHeight="1"/>
  </sheetData>
  <mergeCells count="14">
    <mergeCell ref="A21:E21"/>
    <mergeCell ref="A4:E4"/>
    <mergeCell ref="A20:E20"/>
    <mergeCell ref="A26:E26"/>
    <mergeCell ref="A2:E2"/>
    <mergeCell ref="A15:E15"/>
    <mergeCell ref="A10:E10"/>
    <mergeCell ref="A28:E28"/>
    <mergeCell ref="A1:E1"/>
    <mergeCell ref="A23:E23"/>
    <mergeCell ref="A19:D19"/>
    <mergeCell ref="A22:E22"/>
    <mergeCell ref="A27:E27"/>
    <mergeCell ref="A14:D14"/>
  </mergeCells>
  <pageMargins left="0.5" right="0.5" top="0.5" bottom="0.5" header="0.25" footer="0.2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topLeftCell="F1" workbookViewId="0">
      <pane ySplit="1" topLeftCell="A2" activePane="bottomLeft" state="frozen"/>
      <selection pane="bottomLeft" activeCell="J20" sqref="J20"/>
    </sheetView>
  </sheetViews>
  <sheetFormatPr baseColWidth="10" defaultRowHeight="15"/>
  <cols>
    <col width="13.375" customWidth="1" min="1" max="1"/>
    <col width="36.625" customWidth="1" min="2" max="2"/>
    <col width="24.125" customWidth="1" min="3" max="10"/>
  </cols>
  <sheetData>
    <row r="1" ht="27.95" customHeight="1">
      <c r="A1" s="24" t="inlineStr">
        <is>
          <t>CAPÍTULO</t>
        </is>
      </c>
      <c r="B1" s="25" t="inlineStr">
        <is>
          <t>NOMBRE</t>
        </is>
      </c>
      <c r="C1" s="25" t="inlineStr">
        <is>
          <t>SUMINISTROS</t>
        </is>
      </c>
      <c r="D1" s="25" t="inlineStr">
        <is>
          <t>OBRA CIVIL</t>
        </is>
      </c>
      <c r="E1" s="25" t="inlineStr">
        <is>
          <t>SERVICIOS</t>
        </is>
      </c>
      <c r="F1" s="25" t="inlineStr">
        <is>
          <t>COSTO DIRECTO</t>
        </is>
      </c>
      <c r="G1" s="25" t="inlineStr">
        <is>
          <t>AIU 33% OBRA</t>
        </is>
      </c>
      <c r="H1" s="25" t="inlineStr">
        <is>
          <t>IVA</t>
        </is>
      </c>
      <c r="I1" s="25" t="inlineStr">
        <is>
          <t>TOTAL CAP (COP)</t>
        </is>
      </c>
      <c r="J1" s="26" t="inlineStr">
        <is>
          <t>TOTAL CAP (USD)</t>
        </is>
      </c>
    </row>
    <row r="2" ht="15.75" customHeight="1">
      <c r="A2" s="27" t="inlineStr">
        <is>
          <t>1</t>
        </is>
      </c>
      <c r="B2" s="9" t="inlineStr">
        <is>
          <t>CONTROL Y SENALIZACIÓN VIRTUAL</t>
        </is>
      </c>
      <c r="C2" s="153" t="n">
        <v>70398425000</v>
      </c>
      <c r="D2" s="153" t="n">
        <v>0</v>
      </c>
      <c r="E2" s="154" t="n">
        <v>0</v>
      </c>
      <c r="F2" s="153" t="n">
        <v>70398425000</v>
      </c>
      <c r="G2" s="154" t="n">
        <v>0</v>
      </c>
      <c r="H2" s="153" t="n">
        <v>13375700750</v>
      </c>
      <c r="I2" s="153" t="n">
        <v>83774125750</v>
      </c>
      <c r="J2" s="155" t="n">
        <v>19039574</v>
      </c>
    </row>
    <row r="3" ht="15.75" customHeight="1">
      <c r="A3" s="27" t="inlineStr">
        <is>
          <t>2</t>
        </is>
      </c>
      <c r="B3" s="9" t="inlineStr">
        <is>
          <t>TELECOMUNICACIONES COLOCALIZADAS</t>
        </is>
      </c>
      <c r="C3" s="153" t="n">
        <v>29343670087</v>
      </c>
      <c r="D3" s="153" t="n">
        <v>58139423473</v>
      </c>
      <c r="E3" s="154" t="n">
        <v>630000000</v>
      </c>
      <c r="F3" s="153" t="n">
        <v>88113093560</v>
      </c>
      <c r="G3" s="154" t="n">
        <v>19186009747</v>
      </c>
      <c r="H3" s="153" t="n">
        <v>6247321840</v>
      </c>
      <c r="I3" s="153" t="n">
        <v>113546425147</v>
      </c>
      <c r="J3" s="155" t="n">
        <v>25806006</v>
      </c>
    </row>
    <row r="4" ht="15.75" customHeight="1">
      <c r="A4" s="27" t="inlineStr">
        <is>
          <t>3</t>
        </is>
      </c>
      <c r="B4" s="9" t="inlineStr">
        <is>
          <t>SISTEMAS ITS Y SEGURIDAD</t>
        </is>
      </c>
      <c r="C4" s="153" t="n">
        <v>5136300000</v>
      </c>
      <c r="D4" s="153" t="n">
        <v>0</v>
      </c>
      <c r="E4" s="154" t="n">
        <v>246000000</v>
      </c>
      <c r="F4" s="153" t="n">
        <v>5382300000</v>
      </c>
      <c r="G4" s="154" t="n">
        <v>0</v>
      </c>
      <c r="H4" s="153" t="n">
        <v>1022637000</v>
      </c>
      <c r="I4" s="153" t="n">
        <v>6404937000</v>
      </c>
      <c r="J4" s="155" t="n">
        <v>1455668</v>
      </c>
    </row>
    <row r="5" ht="15.75" customHeight="1">
      <c r="A5" s="27" t="inlineStr">
        <is>
          <t>4</t>
        </is>
      </c>
      <c r="B5" s="9" t="inlineStr">
        <is>
          <t>PASOS A NIVEL</t>
        </is>
      </c>
      <c r="C5" s="153" t="n">
        <v>16438000000</v>
      </c>
      <c r="D5" s="153" t="n">
        <v>0</v>
      </c>
      <c r="E5" s="154" t="n">
        <v>1800000000</v>
      </c>
      <c r="F5" s="153" t="n">
        <v>18238000000</v>
      </c>
      <c r="G5" s="154" t="n">
        <v>0</v>
      </c>
      <c r="H5" s="153" t="n">
        <v>3465220000</v>
      </c>
      <c r="I5" s="153" t="n">
        <v>21703220000</v>
      </c>
      <c r="J5" s="155" t="n">
        <v>4932550</v>
      </c>
    </row>
    <row r="6" ht="15.75" customHeight="1">
      <c r="A6" s="27" t="inlineStr">
        <is>
          <t>5</t>
        </is>
      </c>
      <c r="B6" s="9" t="inlineStr">
        <is>
          <t>CENTRO DE CONTROL OPERACIONAL</t>
        </is>
      </c>
      <c r="C6" s="153" t="n">
        <v>16312000000</v>
      </c>
      <c r="D6" s="153" t="n">
        <v>0</v>
      </c>
      <c r="E6" s="154" t="n">
        <v>100000000</v>
      </c>
      <c r="F6" s="153" t="n">
        <v>16412000000</v>
      </c>
      <c r="G6" s="154" t="n">
        <v>0</v>
      </c>
      <c r="H6" s="153" t="n">
        <v>3118280000</v>
      </c>
      <c r="I6" s="153" t="n">
        <v>19530280000</v>
      </c>
      <c r="J6" s="155" t="n">
        <v>4438700</v>
      </c>
    </row>
    <row r="7" ht="15.75" customHeight="1">
      <c r="A7" s="27" t="inlineStr">
        <is>
          <t>6</t>
        </is>
      </c>
      <c r="B7" s="9" t="inlineStr">
        <is>
          <t>MATERIAL RODANTE</t>
        </is>
      </c>
      <c r="C7" s="153" t="n">
        <v>11127500000</v>
      </c>
      <c r="D7" s="153" t="n">
        <v>0</v>
      </c>
      <c r="E7" s="154" t="n">
        <v>1520000000</v>
      </c>
      <c r="F7" s="153" t="n">
        <v>12647500000</v>
      </c>
      <c r="G7" s="154" t="n">
        <v>0</v>
      </c>
      <c r="H7" s="153" t="n">
        <v>2403025000</v>
      </c>
      <c r="I7" s="153" t="n">
        <v>15050525000</v>
      </c>
      <c r="J7" s="155" t="n">
        <v>3420574</v>
      </c>
    </row>
    <row r="8" ht="15.75" customHeight="1">
      <c r="A8" s="31" t="inlineStr">
        <is>
          <t>TOTAL</t>
        </is>
      </c>
      <c r="B8" s="32" t="inlineStr">
        <is>
          <t>PROYECTO COMPLETO</t>
        </is>
      </c>
      <c r="C8" s="156" t="n">
        <v>148755895087</v>
      </c>
      <c r="D8" s="156" t="n">
        <v>58139423473</v>
      </c>
      <c r="E8" s="157" t="n">
        <v>4296000000</v>
      </c>
      <c r="F8" s="156" t="n">
        <v>211191318560</v>
      </c>
      <c r="G8" s="157" t="n">
        <v>19186009747</v>
      </c>
      <c r="H8" s="156" t="n">
        <v>29632184590</v>
      </c>
      <c r="I8" s="156" t="n">
        <v>260009512897</v>
      </c>
      <c r="J8" s="158" t="n">
        <v>59093071</v>
      </c>
    </row>
    <row r="9" ht="15.75" customHeight="1"/>
  </sheetData>
  <pageMargins left="0.5" right="0.5" top="0.5" bottom="0.5" header="0.25" footer="0.25"/>
  <pageSetup orientation="landscape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"/>
  <sheetViews>
    <sheetView topLeftCell="F130" workbookViewId="0">
      <pane ySplit="2" topLeftCell="A132" activePane="bottomLeft" state="frozen"/>
      <selection activeCell="A130" sqref="A130"/>
      <selection pane="bottomLeft" activeCell="L19" sqref="L19"/>
    </sheetView>
  </sheetViews>
  <sheetFormatPr baseColWidth="10" defaultRowHeight="15"/>
  <cols>
    <col width="44.125" customWidth="1" min="1" max="1"/>
    <col width="13.375" customWidth="1" min="2" max="2"/>
    <col width="15.875" customWidth="1" min="3" max="3"/>
    <col width="56.625" customWidth="1" min="4" max="4"/>
    <col width="14.125" customWidth="1" min="5" max="5"/>
    <col width="9.625" customWidth="1" min="6" max="6"/>
    <col width="15.875" customWidth="1" min="7" max="7"/>
    <col width="25.875" customWidth="1" min="8" max="9"/>
    <col width="21.625" customWidth="1" min="10" max="10"/>
    <col width="4.875" customWidth="1" min="11" max="11"/>
    <col width="25.875" customWidth="1" min="12" max="12"/>
    <col width="21.625" customWidth="1" min="13" max="13"/>
  </cols>
  <sheetData>
    <row r="1" ht="15.75" customHeight="1">
      <c r="L1" s="36" t="inlineStr">
        <is>
          <t>TMR</t>
        </is>
      </c>
      <c r="M1" s="37" t="n">
        <v>4400</v>
      </c>
    </row>
    <row r="2" ht="24" customHeight="1" thickBot="1">
      <c r="A2" s="38" t="inlineStr">
        <is>
          <t>Capítulo</t>
        </is>
      </c>
      <c r="B2" s="123" t="inlineStr">
        <is>
          <t>SUB CAP</t>
        </is>
      </c>
      <c r="C2" s="123" t="inlineStr">
        <is>
          <t>ÍTEM</t>
        </is>
      </c>
      <c r="D2" s="124" t="inlineStr">
        <is>
          <t>DESCRIPCIÓN</t>
        </is>
      </c>
      <c r="E2" s="123" t="inlineStr">
        <is>
          <t>TIPO</t>
        </is>
      </c>
      <c r="F2" s="123" t="inlineStr">
        <is>
          <t>UNIDAD</t>
        </is>
      </c>
      <c r="G2" s="123" t="inlineStr">
        <is>
          <t>CANTIDAD</t>
        </is>
      </c>
      <c r="H2" s="123" t="inlineStr">
        <is>
          <t>VU (COP)</t>
        </is>
      </c>
      <c r="I2" s="123" t="inlineStr">
        <is>
          <t>TOTAL (COP)</t>
        </is>
      </c>
      <c r="J2" s="123" t="inlineStr">
        <is>
          <t>TOTAL (USD)</t>
        </is>
      </c>
    </row>
    <row r="3" ht="15.75" customHeight="1">
      <c r="A3" s="119" t="inlineStr">
        <is>
          <t>1. CONTROL Y SENALIZACIÓN VIRTUAL</t>
        </is>
      </c>
      <c r="B3" s="120" t="inlineStr">
        <is>
          <t>1.1</t>
        </is>
      </c>
      <c r="C3" s="120" t="inlineStr">
        <is>
          <t>1.1.100</t>
        </is>
      </c>
      <c r="D3" s="121" t="inlineStr">
        <is>
          <t>Servidores CTC principales</t>
        </is>
      </c>
      <c r="E3" s="120" t="inlineStr">
        <is>
          <t>SUMINISTRO</t>
        </is>
      </c>
      <c r="F3" s="120" t="inlineStr">
        <is>
          <t>UND</t>
        </is>
      </c>
      <c r="G3" s="120" t="n">
        <v>2</v>
      </c>
      <c r="H3" s="159" t="n">
        <v>180000000</v>
      </c>
      <c r="I3" s="159">
        <f>Tabla2[[#This Row],[VU (COP)]]*Tabla2[[#This Row],[CANTIDAD]]</f>
        <v/>
      </c>
      <c r="J3" s="159">
        <f>Tabla2[[#This Row],[TOTAL (COP)]]/$M$1</f>
        <v/>
      </c>
    </row>
    <row r="4" ht="15.75" customHeight="1">
      <c r="A4" s="117" t="inlineStr">
        <is>
          <t>1. CONTROL Y SENALIZACIÓN VIRTUAL</t>
        </is>
      </c>
      <c r="B4" s="110" t="inlineStr">
        <is>
          <t>1.1</t>
        </is>
      </c>
      <c r="C4" s="110" t="inlineStr">
        <is>
          <t>1.1.101</t>
        </is>
      </c>
      <c r="D4" s="111" t="inlineStr">
        <is>
          <t>Servidores CTC respaldo</t>
        </is>
      </c>
      <c r="E4" s="110" t="inlineStr">
        <is>
          <t>SUMINISTRO</t>
        </is>
      </c>
      <c r="F4" s="110" t="inlineStr">
        <is>
          <t>UND</t>
        </is>
      </c>
      <c r="G4" s="110" t="n">
        <v>2</v>
      </c>
      <c r="H4" s="160" t="n">
        <v>180000000</v>
      </c>
      <c r="I4" s="161">
        <f>Tabla2[[#This Row],[VU (COP)]]*Tabla2[[#This Row],[CANTIDAD]]</f>
        <v/>
      </c>
      <c r="J4" s="161">
        <f>Tabla2[[#This Row],[TOTAL (COP)]]/$M$1</f>
        <v/>
      </c>
    </row>
    <row r="5" ht="15.75" customHeight="1">
      <c r="A5" s="116" t="inlineStr">
        <is>
          <t>1. CONTROL Y SENALIZACIÓN VIRTUAL</t>
        </is>
      </c>
      <c r="B5" s="107" t="inlineStr">
        <is>
          <t>1.1</t>
        </is>
      </c>
      <c r="C5" s="107" t="inlineStr">
        <is>
          <t>1.1.102</t>
        </is>
      </c>
      <c r="D5" s="108" t="inlineStr">
        <is>
          <t>Workstations operadores</t>
        </is>
      </c>
      <c r="E5" s="107" t="inlineStr">
        <is>
          <t>SUMINISTRO</t>
        </is>
      </c>
      <c r="F5" s="107" t="inlineStr">
        <is>
          <t>UND</t>
        </is>
      </c>
      <c r="G5" s="107" t="n">
        <v>8</v>
      </c>
      <c r="H5" s="161" t="n">
        <v>45000000</v>
      </c>
      <c r="I5" s="161">
        <f>Tabla2[[#This Row],[VU (COP)]]*Tabla2[[#This Row],[CANTIDAD]]</f>
        <v/>
      </c>
      <c r="J5" s="161">
        <f>Tabla2[[#This Row],[TOTAL (COP)]]/$M$1</f>
        <v/>
      </c>
    </row>
    <row r="6" ht="30" customHeight="1">
      <c r="A6" s="117" t="inlineStr">
        <is>
          <t>1. CONTROL Y SENALIZACIÓN VIRTUAL</t>
        </is>
      </c>
      <c r="B6" s="110" t="inlineStr">
        <is>
          <t>1.1</t>
        </is>
      </c>
      <c r="C6" s="110" t="inlineStr">
        <is>
          <t>1.1.103</t>
        </is>
      </c>
      <c r="D6" s="111" t="inlineStr">
        <is>
          <t>Software CTC virtual + Autorizaciones PTC (Interoperabilidad Procedimental)</t>
        </is>
      </c>
      <c r="E6" s="110" t="inlineStr">
        <is>
          <t>SUMINISTRO</t>
        </is>
      </c>
      <c r="F6" s="110" t="inlineStr">
        <is>
          <t>UND</t>
        </is>
      </c>
      <c r="G6" s="110" t="n">
        <v>1</v>
      </c>
      <c r="H6" s="160" t="n">
        <v>11000000000</v>
      </c>
      <c r="I6" s="161">
        <f>Tabla2[[#This Row],[VU (COP)]]*Tabla2[[#This Row],[CANTIDAD]]</f>
        <v/>
      </c>
      <c r="J6" s="161">
        <f>Tabla2[[#This Row],[TOTAL (COP)]]/$M$1</f>
        <v/>
      </c>
    </row>
    <row r="7" ht="15.75" customHeight="1">
      <c r="A7" s="116" t="inlineStr">
        <is>
          <t>1. CONTROL Y SENALIZACIÓN VIRTUAL</t>
        </is>
      </c>
      <c r="B7" s="107" t="inlineStr">
        <is>
          <t>1.1</t>
        </is>
      </c>
      <c r="C7" s="107" t="inlineStr">
        <is>
          <t>1.1.104</t>
        </is>
      </c>
      <c r="D7" s="108" t="inlineStr">
        <is>
          <t>Base de datos centralizada</t>
        </is>
      </c>
      <c r="E7" s="107" t="inlineStr">
        <is>
          <t>SUMINISTRO</t>
        </is>
      </c>
      <c r="F7" s="107" t="inlineStr">
        <is>
          <t>UND</t>
        </is>
      </c>
      <c r="G7" s="107" t="n">
        <v>1</v>
      </c>
      <c r="H7" s="161" t="n">
        <v>200000000</v>
      </c>
      <c r="I7" s="161">
        <f>Tabla2[[#This Row],[VU (COP)]]*Tabla2[[#This Row],[CANTIDAD]]</f>
        <v/>
      </c>
      <c r="J7" s="161">
        <f>Tabla2[[#This Row],[TOTAL (COP)]]/$M$1</f>
        <v/>
      </c>
    </row>
    <row r="8" ht="15.75" customHeight="1">
      <c r="A8" s="117" t="inlineStr">
        <is>
          <t>1. CONTROL Y SENALIZACIÓN VIRTUAL</t>
        </is>
      </c>
      <c r="B8" s="110" t="inlineStr">
        <is>
          <t>1.1</t>
        </is>
      </c>
      <c r="C8" s="110" t="inlineStr">
        <is>
          <t>1.1.105</t>
        </is>
      </c>
      <c r="D8" s="111" t="inlineStr">
        <is>
          <t>Sistema redundancia</t>
        </is>
      </c>
      <c r="E8" s="110" t="inlineStr">
        <is>
          <t>SUMINISTRO</t>
        </is>
      </c>
      <c r="F8" s="110" t="inlineStr">
        <is>
          <t>UND</t>
        </is>
      </c>
      <c r="G8" s="110" t="n">
        <v>1</v>
      </c>
      <c r="H8" s="160" t="n">
        <v>300000000</v>
      </c>
      <c r="I8" s="161">
        <f>Tabla2[[#This Row],[VU (COP)]]*Tabla2[[#This Row],[CANTIDAD]]</f>
        <v/>
      </c>
      <c r="J8" s="161">
        <f>Tabla2[[#This Row],[TOTAL (COP)]]/$M$1</f>
        <v/>
      </c>
    </row>
    <row r="9" ht="15.75" customHeight="1">
      <c r="A9" s="116" t="inlineStr">
        <is>
          <t>1. CONTROL Y SENALIZACIÓN VIRTUAL</t>
        </is>
      </c>
      <c r="B9" s="107" t="inlineStr">
        <is>
          <t>1.1</t>
        </is>
      </c>
      <c r="C9" s="107" t="inlineStr">
        <is>
          <t>1.1.106</t>
        </is>
      </c>
      <c r="D9" s="108" t="inlineStr">
        <is>
          <t>Interfaces comunicación</t>
        </is>
      </c>
      <c r="E9" s="107" t="inlineStr">
        <is>
          <t>SUMINISTRO</t>
        </is>
      </c>
      <c r="F9" s="107" t="inlineStr">
        <is>
          <t>UND</t>
        </is>
      </c>
      <c r="G9" s="107" t="n">
        <v>1</v>
      </c>
      <c r="H9" s="161" t="n">
        <v>150000000</v>
      </c>
      <c r="I9" s="161">
        <f>Tabla2[[#This Row],[VU (COP)]]*Tabla2[[#This Row],[CANTIDAD]]</f>
        <v/>
      </c>
      <c r="J9" s="161">
        <f>Tabla2[[#This Row],[TOTAL (COP)]]/$M$1</f>
        <v/>
      </c>
    </row>
    <row r="10" ht="15.75" customHeight="1">
      <c r="A10" s="117" t="inlineStr">
        <is>
          <t>1. CONTROL Y SENALIZACIÓN VIRTUAL</t>
        </is>
      </c>
      <c r="B10" s="110" t="inlineStr">
        <is>
          <t>1.2</t>
        </is>
      </c>
      <c r="C10" s="110" t="inlineStr">
        <is>
          <t>1.2.100</t>
        </is>
      </c>
      <c r="D10" s="111" t="inlineStr">
        <is>
          <t>Computadora PTC embarcada</t>
        </is>
      </c>
      <c r="E10" s="110" t="inlineStr">
        <is>
          <t>SUMINISTRO</t>
        </is>
      </c>
      <c r="F10" s="110" t="inlineStr">
        <is>
          <t>UND</t>
        </is>
      </c>
      <c r="G10" s="110" t="n">
        <v>15</v>
      </c>
      <c r="H10" s="160" t="n">
        <v>120000000</v>
      </c>
      <c r="I10" s="161">
        <f>Tabla2[[#This Row],[VU (COP)]]*Tabla2[[#This Row],[CANTIDAD]]</f>
        <v/>
      </c>
      <c r="J10" s="161">
        <f>Tabla2[[#This Row],[TOTAL (COP)]]/$M$1</f>
        <v/>
      </c>
    </row>
    <row r="11" ht="15.75" customHeight="1">
      <c r="A11" s="116" t="inlineStr">
        <is>
          <t>1. CONTROL Y SENALIZACIÓN VIRTUAL</t>
        </is>
      </c>
      <c r="B11" s="107" t="inlineStr">
        <is>
          <t>1.2</t>
        </is>
      </c>
      <c r="C11" s="107" t="inlineStr">
        <is>
          <t>1.2.101</t>
        </is>
      </c>
      <c r="D11" s="108" t="inlineStr">
        <is>
          <t>Display maquinista</t>
        </is>
      </c>
      <c r="E11" s="107" t="inlineStr">
        <is>
          <t>SUMINISTRO</t>
        </is>
      </c>
      <c r="F11" s="107" t="inlineStr">
        <is>
          <t>UND</t>
        </is>
      </c>
      <c r="G11" s="107" t="n">
        <v>15</v>
      </c>
      <c r="H11" s="161" t="n">
        <v>80000000</v>
      </c>
      <c r="I11" s="161">
        <f>Tabla2[[#This Row],[VU (COP)]]*Tabla2[[#This Row],[CANTIDAD]]</f>
        <v/>
      </c>
      <c r="J11" s="161">
        <f>Tabla2[[#This Row],[TOTAL (COP)]]/$M$1</f>
        <v/>
      </c>
    </row>
    <row r="12" ht="15.75" customHeight="1">
      <c r="A12" s="117" t="inlineStr">
        <is>
          <t>1. CONTROL Y SENALIZACIÓN VIRTUAL</t>
        </is>
      </c>
      <c r="B12" s="110" t="inlineStr">
        <is>
          <t>1.2</t>
        </is>
      </c>
      <c r="C12" s="110" t="inlineStr">
        <is>
          <t>1.2.102</t>
        </is>
      </c>
      <c r="D12" s="111" t="inlineStr">
        <is>
          <t>Sensores velocidad</t>
        </is>
      </c>
      <c r="E12" s="110" t="inlineStr">
        <is>
          <t>SUMINISTRO</t>
        </is>
      </c>
      <c r="F12" s="110" t="inlineStr">
        <is>
          <t>UND</t>
        </is>
      </c>
      <c r="G12" s="110" t="n">
        <v>15</v>
      </c>
      <c r="H12" s="160" t="n">
        <v>25000000</v>
      </c>
      <c r="I12" s="161">
        <f>Tabla2[[#This Row],[VU (COP)]]*Tabla2[[#This Row],[CANTIDAD]]</f>
        <v/>
      </c>
      <c r="J12" s="161">
        <f>Tabla2[[#This Row],[TOTAL (COP)]]/$M$1</f>
        <v/>
      </c>
    </row>
    <row r="13" ht="15.75" customHeight="1">
      <c r="A13" s="116" t="inlineStr">
        <is>
          <t>1. CONTROL Y SENALIZACIÓN VIRTUAL</t>
        </is>
      </c>
      <c r="B13" s="107" t="inlineStr">
        <is>
          <t>1.2</t>
        </is>
      </c>
      <c r="C13" s="107" t="inlineStr">
        <is>
          <t>1.2.103</t>
        </is>
      </c>
      <c r="D13" s="108" t="inlineStr">
        <is>
          <t>Sistema GPS</t>
        </is>
      </c>
      <c r="E13" s="107" t="inlineStr">
        <is>
          <t>SUMINISTRO</t>
        </is>
      </c>
      <c r="F13" s="107" t="inlineStr">
        <is>
          <t>UND</t>
        </is>
      </c>
      <c r="G13" s="107" t="n">
        <v>15</v>
      </c>
      <c r="H13" s="161" t="n">
        <v>35000000</v>
      </c>
      <c r="I13" s="161">
        <f>Tabla2[[#This Row],[VU (COP)]]*Tabla2[[#This Row],[CANTIDAD]]</f>
        <v/>
      </c>
      <c r="J13" s="161">
        <f>Tabla2[[#This Row],[TOTAL (COP)]]/$M$1</f>
        <v/>
      </c>
    </row>
    <row r="14" ht="15.75" customHeight="1">
      <c r="A14" s="117" t="inlineStr">
        <is>
          <t>1. CONTROL Y SENALIZACIÓN VIRTUAL</t>
        </is>
      </c>
      <c r="B14" s="110" t="inlineStr">
        <is>
          <t>1.2</t>
        </is>
      </c>
      <c r="C14" s="110" t="inlineStr">
        <is>
          <t>1.2.104</t>
        </is>
      </c>
      <c r="D14" s="111" t="inlineStr">
        <is>
          <t>Software PTC</t>
        </is>
      </c>
      <c r="E14" s="110" t="inlineStr">
        <is>
          <t>SUMINISTRO</t>
        </is>
      </c>
      <c r="F14" s="110" t="inlineStr">
        <is>
          <t>UND</t>
        </is>
      </c>
      <c r="G14" s="110" t="n">
        <v>15</v>
      </c>
      <c r="H14" s="160" t="n">
        <v>100000000</v>
      </c>
      <c r="I14" s="161">
        <f>Tabla2[[#This Row],[VU (COP)]]*Tabla2[[#This Row],[CANTIDAD]]</f>
        <v/>
      </c>
      <c r="J14" s="161">
        <f>Tabla2[[#This Row],[TOTAL (COP)]]/$M$1</f>
        <v/>
      </c>
    </row>
    <row r="15" ht="15.75" customHeight="1">
      <c r="A15" s="116" t="inlineStr">
        <is>
          <t>1. CONTROL Y SENALIZACIÓN VIRTUAL</t>
        </is>
      </c>
      <c r="B15" s="107" t="inlineStr">
        <is>
          <t>1.2</t>
        </is>
      </c>
      <c r="C15" s="107" t="inlineStr">
        <is>
          <t>1.2.105</t>
        </is>
      </c>
      <c r="D15" s="108" t="inlineStr">
        <is>
          <t>Interfaces frenos</t>
        </is>
      </c>
      <c r="E15" s="107" t="inlineStr">
        <is>
          <t>SUMINISTRO</t>
        </is>
      </c>
      <c r="F15" s="107" t="inlineStr">
        <is>
          <t>UND</t>
        </is>
      </c>
      <c r="G15" s="107" t="n">
        <v>15</v>
      </c>
      <c r="H15" s="161" t="n">
        <v>30000000</v>
      </c>
      <c r="I15" s="161">
        <f>Tabla2[[#This Row],[VU (COP)]]*Tabla2[[#This Row],[CANTIDAD]]</f>
        <v/>
      </c>
      <c r="J15" s="161">
        <f>Tabla2[[#This Row],[TOTAL (COP)]]/$M$1</f>
        <v/>
      </c>
    </row>
    <row r="16" ht="15.75" customHeight="1">
      <c r="A16" s="117" t="inlineStr">
        <is>
          <t>1. CONTROL Y SENALIZACIÓN VIRTUAL</t>
        </is>
      </c>
      <c r="B16" s="110" t="inlineStr">
        <is>
          <t>1.2</t>
        </is>
      </c>
      <c r="C16" s="110" t="inlineStr">
        <is>
          <t>1.2.106</t>
        </is>
      </c>
      <c r="D16" s="111" t="inlineStr">
        <is>
          <t>Sistema redundancia</t>
        </is>
      </c>
      <c r="E16" s="110" t="inlineStr">
        <is>
          <t>SUMINISTRO</t>
        </is>
      </c>
      <c r="F16" s="110" t="inlineStr">
        <is>
          <t>UND</t>
        </is>
      </c>
      <c r="G16" s="110" t="n">
        <v>15</v>
      </c>
      <c r="H16" s="160" t="n">
        <v>50000000</v>
      </c>
      <c r="I16" s="161">
        <f>Tabla2[[#This Row],[VU (COP)]]*Tabla2[[#This Row],[CANTIDAD]]</f>
        <v/>
      </c>
      <c r="J16" s="161">
        <f>Tabla2[[#This Row],[TOTAL (COP)]]/$M$1</f>
        <v/>
      </c>
    </row>
    <row r="17" ht="30" customHeight="1">
      <c r="A17" s="116" t="inlineStr">
        <is>
          <t>1. CONTROL Y SENALIZACIÓN VIRTUAL</t>
        </is>
      </c>
      <c r="B17" s="107" t="inlineStr">
        <is>
          <t>1.3</t>
        </is>
      </c>
      <c r="C17" s="107" t="inlineStr">
        <is>
          <t>1.3.100</t>
        </is>
      </c>
      <c r="D17" s="108" t="inlineStr">
        <is>
          <t>Controlador ENCE Zapatosa (DT-COMS-2026-007: ADIF CAC020 €356,780 + ajustes trocha 914+log−MO ≈ $2,000M COP)</t>
        </is>
      </c>
      <c r="E17" s="107" t="inlineStr">
        <is>
          <t>SUMINISTRO</t>
        </is>
      </c>
      <c r="F17" s="107" t="inlineStr">
        <is>
          <t>UND</t>
        </is>
      </c>
      <c r="G17" s="107" t="n">
        <v>1</v>
      </c>
      <c r="H17" s="161" t="n">
        <v>2000000000</v>
      </c>
      <c r="I17" s="161">
        <f>Tabla2[[#This Row],[VU (COP)]]*Tabla2[[#This Row],[CANTIDAD]]</f>
        <v/>
      </c>
      <c r="J17" s="161">
        <f>Tabla2[[#This Row],[TOTAL (COP)]]/$M$1</f>
        <v/>
      </c>
    </row>
    <row r="18" ht="15.75" customHeight="1">
      <c r="A18" s="117" t="inlineStr">
        <is>
          <t>1. CONTROL Y SENALIZACIÓN VIRTUAL</t>
        </is>
      </c>
      <c r="B18" s="110" t="inlineStr">
        <is>
          <t>1.3</t>
        </is>
      </c>
      <c r="C18" s="110" t="inlineStr">
        <is>
          <t>1.3.101</t>
        </is>
      </c>
      <c r="D18" s="111" t="inlineStr">
        <is>
          <t>Controlador ENCE García Cadena (DT-COMS-2026-007)</t>
        </is>
      </c>
      <c r="E18" s="110" t="inlineStr">
        <is>
          <t>SUMINISTRO</t>
        </is>
      </c>
      <c r="F18" s="110" t="inlineStr">
        <is>
          <t>UND</t>
        </is>
      </c>
      <c r="G18" s="110" t="n">
        <v>1</v>
      </c>
      <c r="H18" s="160" t="n">
        <v>2000000000</v>
      </c>
      <c r="I18" s="161">
        <f>Tabla2[[#This Row],[VU (COP)]]*Tabla2[[#This Row],[CANTIDAD]]</f>
        <v/>
      </c>
      <c r="J18" s="161">
        <f>Tabla2[[#This Row],[TOTAL (COP)]]/$M$1</f>
        <v/>
      </c>
    </row>
    <row r="19" ht="15.75" customHeight="1">
      <c r="A19" s="116" t="inlineStr">
        <is>
          <t>1. CONTROL Y SENALIZACIÓN VIRTUAL</t>
        </is>
      </c>
      <c r="B19" s="107" t="inlineStr">
        <is>
          <t>1.3</t>
        </is>
      </c>
      <c r="C19" s="107" t="inlineStr">
        <is>
          <t>1.3.102</t>
        </is>
      </c>
      <c r="D19" s="108" t="inlineStr">
        <is>
          <t>Controlador ENCE Barrancabermeja (Puerto) (DT-COMS-2026-007)</t>
        </is>
      </c>
      <c r="E19" s="107" t="inlineStr">
        <is>
          <t>SUMINISTRO</t>
        </is>
      </c>
      <c r="F19" s="107" t="inlineStr">
        <is>
          <t>UND</t>
        </is>
      </c>
      <c r="G19" s="107" t="n">
        <v>1</v>
      </c>
      <c r="H19" s="161" t="n">
        <v>2000000000</v>
      </c>
      <c r="I19" s="161">
        <f>Tabla2[[#This Row],[VU (COP)]]*Tabla2[[#This Row],[CANTIDAD]]</f>
        <v/>
      </c>
      <c r="J19" s="161">
        <f>Tabla2[[#This Row],[TOTAL (COP)]]/$M$1</f>
        <v/>
      </c>
    </row>
    <row r="20" ht="15.75" customHeight="1">
      <c r="A20" s="117" t="inlineStr">
        <is>
          <t>1. CONTROL Y SENALIZACIÓN VIRTUAL</t>
        </is>
      </c>
      <c r="B20" s="110" t="inlineStr">
        <is>
          <t>1.3</t>
        </is>
      </c>
      <c r="C20" s="110" t="inlineStr">
        <is>
          <t>1.3.103</t>
        </is>
      </c>
      <c r="D20" s="111" t="inlineStr">
        <is>
          <t>Controlador ENCE Puerto Berrío-Grecia (DT-COMS-2026-007)</t>
        </is>
      </c>
      <c r="E20" s="110" t="inlineStr">
        <is>
          <t>SUMINISTRO</t>
        </is>
      </c>
      <c r="F20" s="110" t="inlineStr">
        <is>
          <t>UND</t>
        </is>
      </c>
      <c r="G20" s="110" t="n">
        <v>1</v>
      </c>
      <c r="H20" s="160" t="n">
        <v>2000000000</v>
      </c>
      <c r="I20" s="161">
        <f>Tabla2[[#This Row],[VU (COP)]]*Tabla2[[#This Row],[CANTIDAD]]</f>
        <v/>
      </c>
      <c r="J20" s="161">
        <f>Tabla2[[#This Row],[TOTAL (COP)]]/$M$1</f>
        <v/>
      </c>
    </row>
    <row r="21" ht="15.75" customHeight="1">
      <c r="A21" s="116" t="inlineStr">
        <is>
          <t>1. CONTROL Y SENALIZACIÓN VIRTUAL</t>
        </is>
      </c>
      <c r="B21" s="107" t="inlineStr">
        <is>
          <t>1.3</t>
        </is>
      </c>
      <c r="C21" s="107" t="inlineStr">
        <is>
          <t>1.3.104</t>
        </is>
      </c>
      <c r="D21" s="108" t="inlineStr">
        <is>
          <t>Controlador ENCE La Dorada-México (DT-COMS-2026-007)</t>
        </is>
      </c>
      <c r="E21" s="107" t="inlineStr">
        <is>
          <t>SUMINISTRO</t>
        </is>
      </c>
      <c r="F21" s="107" t="inlineStr">
        <is>
          <t>UND</t>
        </is>
      </c>
      <c r="G21" s="107" t="n">
        <v>1</v>
      </c>
      <c r="H21" s="161" t="n">
        <v>2000000000</v>
      </c>
      <c r="I21" s="161">
        <f>Tabla2[[#This Row],[VU (COP)]]*Tabla2[[#This Row],[CANTIDAD]]</f>
        <v/>
      </c>
      <c r="J21" s="161">
        <f>Tabla2[[#This Row],[TOTAL (COP)]]/$M$1</f>
        <v/>
      </c>
    </row>
    <row r="22" ht="15.75" customHeight="1">
      <c r="A22" s="117" t="inlineStr">
        <is>
          <t>1. CONTROL Y SENALIZACIÓN VIRTUAL</t>
        </is>
      </c>
      <c r="B22" s="110" t="inlineStr">
        <is>
          <t>1.3</t>
        </is>
      </c>
      <c r="C22" s="110" t="inlineStr">
        <is>
          <t>1.3.105</t>
        </is>
      </c>
      <c r="D22" s="111" t="inlineStr">
        <is>
          <t>Sistema redundancia ENCE</t>
        </is>
      </c>
      <c r="E22" s="110" t="inlineStr">
        <is>
          <t>SUMINISTRO</t>
        </is>
      </c>
      <c r="F22" s="110" t="inlineStr">
        <is>
          <t>UND</t>
        </is>
      </c>
      <c r="G22" s="110" t="n">
        <v>1</v>
      </c>
      <c r="H22" s="160" t="n">
        <v>400000000</v>
      </c>
      <c r="I22" s="161">
        <f>Tabla2[[#This Row],[VU (COP)]]*Tabla2[[#This Row],[CANTIDAD]]</f>
        <v/>
      </c>
      <c r="J22" s="161">
        <f>Tabla2[[#This Row],[TOTAL (COP)]]/$M$1</f>
        <v/>
      </c>
    </row>
    <row r="23" ht="15.75" customHeight="1">
      <c r="A23" s="116" t="inlineStr">
        <is>
          <t>1. CONTROL Y SENALIZACIÓN VIRTUAL</t>
        </is>
      </c>
      <c r="B23" s="107" t="inlineStr">
        <is>
          <t>1.3</t>
        </is>
      </c>
      <c r="C23" s="107" t="inlineStr">
        <is>
          <t>1.3.106</t>
        </is>
      </c>
      <c r="D23" s="108" t="inlineStr">
        <is>
          <t>Interfaces CTC-ENCE</t>
        </is>
      </c>
      <c r="E23" s="107" t="inlineStr">
        <is>
          <t>SUMINISTRO</t>
        </is>
      </c>
      <c r="F23" s="107" t="inlineStr">
        <is>
          <t>UND</t>
        </is>
      </c>
      <c r="G23" s="107" t="n">
        <v>5</v>
      </c>
      <c r="H23" s="161" t="n">
        <v>60000000</v>
      </c>
      <c r="I23" s="161">
        <f>Tabla2[[#This Row],[VU (COP)]]*Tabla2[[#This Row],[CANTIDAD]]</f>
        <v/>
      </c>
      <c r="J23" s="161">
        <f>Tabla2[[#This Row],[TOTAL (COP)]]/$M$1</f>
        <v/>
      </c>
    </row>
    <row r="24" ht="30" customHeight="1">
      <c r="A24" s="117" t="inlineStr">
        <is>
          <t>1. CONTROL Y SENALIZACIÓN VIRTUAL</t>
        </is>
      </c>
      <c r="B24" s="110" t="inlineStr">
        <is>
          <t>1.4</t>
        </is>
      </c>
      <c r="C24" s="110" t="inlineStr">
        <is>
          <t>1.4.100</t>
        </is>
      </c>
      <c r="D24" s="111" t="inlineStr">
        <is>
          <t>Desvíos motorizados CTC (DT-COMS-2026-007: ADIF VEA010 €114,320 + ajustes trocha 914+log−MO ≈ $640M COP)</t>
        </is>
      </c>
      <c r="E24" s="110" t="inlineStr">
        <is>
          <t>SUMINISTRO</t>
        </is>
      </c>
      <c r="F24" s="110" t="inlineStr">
        <is>
          <t>UND</t>
        </is>
      </c>
      <c r="G24" s="110" t="n">
        <v>25</v>
      </c>
      <c r="H24" s="160" t="n">
        <v>640000000</v>
      </c>
      <c r="I24" s="161">
        <f>Tabla2[[#This Row],[VU (COP)]]*Tabla2[[#This Row],[CANTIDAD]]</f>
        <v/>
      </c>
      <c r="J24" s="161">
        <f>Tabla2[[#This Row],[TOTAL (COP)]]/$M$1</f>
        <v/>
      </c>
    </row>
    <row r="25" ht="15.75" customHeight="1">
      <c r="A25" s="116" t="inlineStr">
        <is>
          <t>1. CONTROL Y SENALIZACIÓN VIRTUAL</t>
        </is>
      </c>
      <c r="B25" s="107" t="inlineStr">
        <is>
          <t>1.4</t>
        </is>
      </c>
      <c r="C25" s="107" t="inlineStr">
        <is>
          <t>1.4.101</t>
        </is>
      </c>
      <c r="D25" s="108" t="inlineStr">
        <is>
          <t>Sistemas control remoto + redundancia N+1</t>
        </is>
      </c>
      <c r="E25" s="107" t="inlineStr">
        <is>
          <t>SUMINISTRO</t>
        </is>
      </c>
      <c r="F25" s="107" t="inlineStr">
        <is>
          <t>UND</t>
        </is>
      </c>
      <c r="G25" s="107" t="n">
        <v>25</v>
      </c>
      <c r="H25" s="161" t="n">
        <v>134577000</v>
      </c>
      <c r="I25" s="161">
        <f>Tabla2[[#This Row],[VU (COP)]]*Tabla2[[#This Row],[CANTIDAD]]</f>
        <v/>
      </c>
      <c r="J25" s="161">
        <f>Tabla2[[#This Row],[TOTAL (COP)]]/$M$1</f>
        <v/>
      </c>
    </row>
    <row r="26" ht="15.75" customHeight="1">
      <c r="A26" s="117" t="inlineStr">
        <is>
          <t>1. CONTROL Y SENALIZACIÓN VIRTUAL</t>
        </is>
      </c>
      <c r="B26" s="110" t="inlineStr">
        <is>
          <t>1.4</t>
        </is>
      </c>
      <c r="C26" s="110" t="inlineStr">
        <is>
          <t>1.4.102</t>
        </is>
      </c>
      <c r="D26" s="111" t="inlineStr">
        <is>
          <t>Interfaces CTC/ENCE</t>
        </is>
      </c>
      <c r="E26" s="110" t="inlineStr">
        <is>
          <t>SUMINISTRO</t>
        </is>
      </c>
      <c r="F26" s="110" t="inlineStr">
        <is>
          <t>UND</t>
        </is>
      </c>
      <c r="G26" s="110" t="n">
        <v>25</v>
      </c>
      <c r="H26" s="160" t="n">
        <v>67288000</v>
      </c>
      <c r="I26" s="161">
        <f>Tabla2[[#This Row],[VU (COP)]]*Tabla2[[#This Row],[CANTIDAD]]</f>
        <v/>
      </c>
      <c r="J26" s="161">
        <f>Tabla2[[#This Row],[TOTAL (COP)]]/$M$1</f>
        <v/>
      </c>
    </row>
    <row r="27" ht="15.75" customHeight="1">
      <c r="A27" s="116" t="inlineStr">
        <is>
          <t>1. CONTROL Y SENALIZACIÓN VIRTUAL</t>
        </is>
      </c>
      <c r="B27" s="107" t="inlineStr">
        <is>
          <t>1.5</t>
        </is>
      </c>
      <c r="C27" s="107" t="inlineStr">
        <is>
          <t>1.5.100</t>
        </is>
      </c>
      <c r="D27" s="108" t="inlineStr">
        <is>
          <t>Desvíos manuales autotalonables (con comprobador integrado)</t>
        </is>
      </c>
      <c r="E27" s="107" t="inlineStr">
        <is>
          <t>SUMINISTRO</t>
        </is>
      </c>
      <c r="F27" s="107" t="inlineStr">
        <is>
          <t>UND</t>
        </is>
      </c>
      <c r="G27" s="107" t="n">
        <v>120</v>
      </c>
      <c r="H27" s="161" t="n">
        <v>134577000</v>
      </c>
      <c r="I27" s="161">
        <f>Tabla2[[#This Row],[VU (COP)]]*Tabla2[[#This Row],[CANTIDAD]]</f>
        <v/>
      </c>
      <c r="J27" s="161">
        <f>Tabla2[[#This Row],[TOTAL (COP)]]/$M$1</f>
        <v/>
      </c>
    </row>
    <row r="28" ht="30" customHeight="1">
      <c r="A28" s="117" t="inlineStr">
        <is>
          <t>1. CONTROL Y SENALIZACIÓN VIRTUAL</t>
        </is>
      </c>
      <c r="B28" s="110" t="inlineStr">
        <is>
          <t>1.5</t>
        </is>
      </c>
      <c r="C28" s="110" t="inlineStr">
        <is>
          <t>1.5.101</t>
        </is>
      </c>
      <c r="D28" s="111" t="inlineStr">
        <is>
          <t>Señalización semafórica estaciones ENCE (5 estaciones × 6 señales/estación promedio)</t>
        </is>
      </c>
      <c r="E28" s="110" t="inlineStr">
        <is>
          <t>SUMINISTRO</t>
        </is>
      </c>
      <c r="F28" s="110" t="inlineStr">
        <is>
          <t>UND</t>
        </is>
      </c>
      <c r="G28" s="110" t="n">
        <v>30</v>
      </c>
      <c r="H28" s="160" t="n">
        <v>51920000</v>
      </c>
      <c r="I28" s="161">
        <f>Tabla2[[#This Row],[VU (COP)]]*Tabla2[[#This Row],[CANTIDAD]]</f>
        <v/>
      </c>
      <c r="J28" s="161">
        <f>Tabla2[[#This Row],[TOTAL (COP)]]/$M$1</f>
        <v/>
      </c>
    </row>
    <row r="29" ht="15.75" customHeight="1">
      <c r="A29" s="116" t="inlineStr">
        <is>
          <t>1. CONTROL Y SENALIZACIÓN VIRTUAL</t>
        </is>
      </c>
      <c r="B29" s="107" t="inlineStr">
        <is>
          <t>1.5</t>
        </is>
      </c>
      <c r="C29" s="107" t="inlineStr">
        <is>
          <t>1.5.102</t>
        </is>
      </c>
      <c r="D29" s="108" t="inlineStr">
        <is>
          <t>Herramientas operación (kit completo certificado)</t>
        </is>
      </c>
      <c r="E29" s="107" t="inlineStr">
        <is>
          <t>SUMINISTRO</t>
        </is>
      </c>
      <c r="F29" s="107" t="inlineStr">
        <is>
          <t>UND</t>
        </is>
      </c>
      <c r="G29" s="107" t="n">
        <v>120</v>
      </c>
      <c r="H29" s="161" t="n">
        <v>13458000</v>
      </c>
      <c r="I29" s="161">
        <f>Tabla2[[#This Row],[VU (COP)]]*Tabla2[[#This Row],[CANTIDAD]]</f>
        <v/>
      </c>
      <c r="J29" s="161">
        <f>Tabla2[[#This Row],[TOTAL (COP)]]/$M$1</f>
        <v/>
      </c>
    </row>
    <row r="30" ht="15.75" customHeight="1">
      <c r="A30" s="117" t="inlineStr">
        <is>
          <t>2. TELECOMUNICACIONES COLOCALIZADAS</t>
        </is>
      </c>
      <c r="B30" s="110" t="inlineStr">
        <is>
          <t>2.1</t>
        </is>
      </c>
      <c r="C30" s="110" t="inlineStr">
        <is>
          <t>2.1.100</t>
        </is>
      </c>
      <c r="D30" s="111" t="inlineStr">
        <is>
          <t>Torres autosoportadas</t>
        </is>
      </c>
      <c r="E30" s="110" t="inlineStr">
        <is>
          <t>SUMINISTRO</t>
        </is>
      </c>
      <c r="F30" s="110" t="inlineStr">
        <is>
          <t>UND</t>
        </is>
      </c>
      <c r="G30" s="110" t="n">
        <v>37</v>
      </c>
      <c r="H30" s="160" t="n">
        <v>180000000</v>
      </c>
      <c r="I30" s="161">
        <f>Tabla2[[#This Row],[VU (COP)]]*Tabla2[[#This Row],[CANTIDAD]]</f>
        <v/>
      </c>
      <c r="J30" s="161">
        <f>Tabla2[[#This Row],[TOTAL (COP)]]/$M$1</f>
        <v/>
      </c>
    </row>
    <row r="31" ht="15.75" customHeight="1">
      <c r="A31" s="116" t="inlineStr">
        <is>
          <t>2. TELECOMUNICACIONES COLOCALIZADAS</t>
        </is>
      </c>
      <c r="B31" s="107" t="inlineStr">
        <is>
          <t>2.1</t>
        </is>
      </c>
      <c r="C31" s="107" t="inlineStr">
        <is>
          <t>2.1.101</t>
        </is>
      </c>
      <c r="D31" s="108" t="inlineStr">
        <is>
          <t>Estaciones base TETRA</t>
        </is>
      </c>
      <c r="E31" s="107" t="inlineStr">
        <is>
          <t>SUMINISTRO</t>
        </is>
      </c>
      <c r="F31" s="107" t="inlineStr">
        <is>
          <t>UND</t>
        </is>
      </c>
      <c r="G31" s="107" t="n">
        <v>37</v>
      </c>
      <c r="H31" s="161" t="n">
        <v>65000000</v>
      </c>
      <c r="I31" s="161">
        <f>Tabla2[[#This Row],[VU (COP)]]*Tabla2[[#This Row],[CANTIDAD]]</f>
        <v/>
      </c>
      <c r="J31" s="161">
        <f>Tabla2[[#This Row],[TOTAL (COP)]]/$M$1</f>
        <v/>
      </c>
    </row>
    <row r="32" ht="15.75" customHeight="1">
      <c r="A32" s="117" t="inlineStr">
        <is>
          <t>2. TELECOMUNICACIONES COLOCALIZADAS</t>
        </is>
      </c>
      <c r="B32" s="110" t="inlineStr">
        <is>
          <t>2.1</t>
        </is>
      </c>
      <c r="C32" s="110" t="inlineStr">
        <is>
          <t>2.1.102</t>
        </is>
      </c>
      <c r="D32" s="111" t="inlineStr">
        <is>
          <t>Antenas TETRA</t>
        </is>
      </c>
      <c r="E32" s="110" t="inlineStr">
        <is>
          <t>SUMINISTRO</t>
        </is>
      </c>
      <c r="F32" s="110" t="inlineStr">
        <is>
          <t>UND</t>
        </is>
      </c>
      <c r="G32" s="110" t="n">
        <v>37</v>
      </c>
      <c r="H32" s="160" t="n">
        <v>12000000</v>
      </c>
      <c r="I32" s="161">
        <f>Tabla2[[#This Row],[VU (COP)]]*Tabla2[[#This Row],[CANTIDAD]]</f>
        <v/>
      </c>
      <c r="J32" s="161">
        <f>Tabla2[[#This Row],[TOTAL (COP)]]/$M$1</f>
        <v/>
      </c>
    </row>
    <row r="33" ht="15.75" customHeight="1">
      <c r="A33" s="116" t="inlineStr">
        <is>
          <t>2. TELECOMUNICACIONES COLOCALIZADAS</t>
        </is>
      </c>
      <c r="B33" s="107" t="inlineStr">
        <is>
          <t>2.1</t>
        </is>
      </c>
      <c r="C33" s="107" t="inlineStr">
        <is>
          <t>2.1.103</t>
        </is>
      </c>
      <c r="D33" s="108" t="inlineStr">
        <is>
          <t>Radios embarcados (30 unidades)</t>
        </is>
      </c>
      <c r="E33" s="107" t="inlineStr">
        <is>
          <t>SUMINISTRO</t>
        </is>
      </c>
      <c r="F33" s="107" t="inlineStr">
        <is>
          <t>UND</t>
        </is>
      </c>
      <c r="G33" s="107" t="n">
        <v>30</v>
      </c>
      <c r="H33" s="161" t="n">
        <v>35000000</v>
      </c>
      <c r="I33" s="161">
        <f>Tabla2[[#This Row],[VU (COP)]]*Tabla2[[#This Row],[CANTIDAD]]</f>
        <v/>
      </c>
      <c r="J33" s="161">
        <f>Tabla2[[#This Row],[TOTAL (COP)]]/$M$1</f>
        <v/>
      </c>
    </row>
    <row r="34" ht="15.75" customHeight="1">
      <c r="A34" s="117" t="inlineStr">
        <is>
          <t>2. TELECOMUNICACIONES COLOCALIZADAS</t>
        </is>
      </c>
      <c r="B34" s="110" t="inlineStr">
        <is>
          <t>2.1</t>
        </is>
      </c>
      <c r="C34" s="110" t="inlineStr">
        <is>
          <t>2.1.104</t>
        </is>
      </c>
      <c r="D34" s="111" t="inlineStr">
        <is>
          <t>Radios portátiles</t>
        </is>
      </c>
      <c r="E34" s="110" t="inlineStr">
        <is>
          <t>SUMINISTRO</t>
        </is>
      </c>
      <c r="F34" s="110" t="inlineStr">
        <is>
          <t>UND</t>
        </is>
      </c>
      <c r="G34" s="110" t="n">
        <v>80</v>
      </c>
      <c r="H34" s="160" t="n">
        <v>6000000</v>
      </c>
      <c r="I34" s="161">
        <f>Tabla2[[#This Row],[VU (COP)]]*Tabla2[[#This Row],[CANTIDAD]]</f>
        <v/>
      </c>
      <c r="J34" s="161">
        <f>Tabla2[[#This Row],[TOTAL (COP)]]/$M$1</f>
        <v/>
      </c>
    </row>
    <row r="35" ht="15.75" customHeight="1">
      <c r="A35" s="116" t="inlineStr">
        <is>
          <t>2. TELECOMUNICACIONES COLOCALIZADAS</t>
        </is>
      </c>
      <c r="B35" s="107" t="inlineStr">
        <is>
          <t>2.1</t>
        </is>
      </c>
      <c r="C35" s="107" t="inlineStr">
        <is>
          <t>2.1.105</t>
        </is>
      </c>
      <c r="D35" s="108" t="inlineStr">
        <is>
          <t>Sistema control centralizado</t>
        </is>
      </c>
      <c r="E35" s="107" t="inlineStr">
        <is>
          <t>SUMINISTRO</t>
        </is>
      </c>
      <c r="F35" s="107" t="inlineStr">
        <is>
          <t>UND</t>
        </is>
      </c>
      <c r="G35" s="107" t="n">
        <v>1</v>
      </c>
      <c r="H35" s="161" t="n">
        <v>120000000</v>
      </c>
      <c r="I35" s="161">
        <f>Tabla2[[#This Row],[VU (COP)]]*Tabla2[[#This Row],[CANTIDAD]]</f>
        <v/>
      </c>
      <c r="J35" s="161">
        <f>Tabla2[[#This Row],[TOTAL (COP)]]/$M$1</f>
        <v/>
      </c>
    </row>
    <row r="36" ht="15.75" customHeight="1">
      <c r="A36" s="117" t="inlineStr">
        <is>
          <t>2. TELECOMUNICACIONES COLOCALIZADAS</t>
        </is>
      </c>
      <c r="B36" s="110" t="inlineStr">
        <is>
          <t>2.1</t>
        </is>
      </c>
      <c r="C36" s="110" t="inlineStr">
        <is>
          <t>2.1.106</t>
        </is>
      </c>
      <c r="D36" s="111" t="inlineStr">
        <is>
          <t>Casetas técnicas</t>
        </is>
      </c>
      <c r="E36" s="110" t="inlineStr">
        <is>
          <t>OBRA</t>
        </is>
      </c>
      <c r="F36" s="110" t="inlineStr">
        <is>
          <t>UND</t>
        </is>
      </c>
      <c r="G36" s="110" t="n">
        <v>37</v>
      </c>
      <c r="H36" s="160" t="n">
        <v>65000000</v>
      </c>
      <c r="I36" s="161">
        <f>Tabla2[[#This Row],[VU (COP)]]*Tabla2[[#This Row],[CANTIDAD]]</f>
        <v/>
      </c>
      <c r="J36" s="161">
        <f>Tabla2[[#This Row],[TOTAL (COP)]]/$M$1</f>
        <v/>
      </c>
    </row>
    <row r="37" ht="15.75" customHeight="1">
      <c r="A37" s="116" t="inlineStr">
        <is>
          <t>2. TELECOMUNICACIONES COLOCALIZADAS</t>
        </is>
      </c>
      <c r="B37" s="107" t="inlineStr">
        <is>
          <t>2.1</t>
        </is>
      </c>
      <c r="C37" s="107" t="inlineStr">
        <is>
          <t>2.1.107</t>
        </is>
      </c>
      <c r="D37" s="108" t="inlineStr">
        <is>
          <t>Cimentaciones</t>
        </is>
      </c>
      <c r="E37" s="107" t="inlineStr">
        <is>
          <t>OBRA</t>
        </is>
      </c>
      <c r="F37" s="107" t="inlineStr">
        <is>
          <t>UND</t>
        </is>
      </c>
      <c r="G37" s="107" t="n">
        <v>37</v>
      </c>
      <c r="H37" s="161" t="n">
        <v>25000000</v>
      </c>
      <c r="I37" s="161">
        <f>Tabla2[[#This Row],[VU (COP)]]*Tabla2[[#This Row],[CANTIDAD]]</f>
        <v/>
      </c>
      <c r="J37" s="161">
        <f>Tabla2[[#This Row],[TOTAL (COP)]]/$M$1</f>
        <v/>
      </c>
    </row>
    <row r="38" ht="15.75" customHeight="1">
      <c r="A38" s="117" t="inlineStr">
        <is>
          <t>2. TELECOMUNICACIONES COLOCALIZADAS</t>
        </is>
      </c>
      <c r="B38" s="110" t="inlineStr">
        <is>
          <t>2.1</t>
        </is>
      </c>
      <c r="C38" s="110" t="inlineStr">
        <is>
          <t>2.1.108</t>
        </is>
      </c>
      <c r="D38" s="111" t="inlineStr">
        <is>
          <t>Cerramiento perimetral</t>
        </is>
      </c>
      <c r="E38" s="110" t="inlineStr">
        <is>
          <t>OBRA</t>
        </is>
      </c>
      <c r="F38" s="110" t="inlineStr">
        <is>
          <t>UND</t>
        </is>
      </c>
      <c r="G38" s="110" t="n">
        <v>37</v>
      </c>
      <c r="H38" s="160" t="n">
        <v>30000000</v>
      </c>
      <c r="I38" s="161">
        <f>Tabla2[[#This Row],[VU (COP)]]*Tabla2[[#This Row],[CANTIDAD]]</f>
        <v/>
      </c>
      <c r="J38" s="161">
        <f>Tabla2[[#This Row],[TOTAL (COP)]]/$M$1</f>
        <v/>
      </c>
    </row>
    <row r="39" ht="15.75" customHeight="1">
      <c r="A39" s="116" t="inlineStr">
        <is>
          <t>2. TELECOMUNICACIONES COLOCALIZADAS</t>
        </is>
      </c>
      <c r="B39" s="107" t="inlineStr">
        <is>
          <t>2.1</t>
        </is>
      </c>
      <c r="C39" s="107" t="inlineStr">
        <is>
          <t>2.1.109</t>
        </is>
      </c>
      <c r="D39" s="108" t="inlineStr">
        <is>
          <t>Vías de acceso</t>
        </is>
      </c>
      <c r="E39" s="107" t="inlineStr">
        <is>
          <t>OBRA</t>
        </is>
      </c>
      <c r="F39" s="107" t="inlineStr">
        <is>
          <t>UND</t>
        </is>
      </c>
      <c r="G39" s="107" t="n">
        <v>37</v>
      </c>
      <c r="H39" s="161" t="n">
        <v>25000000</v>
      </c>
      <c r="I39" s="161">
        <f>Tabla2[[#This Row],[VU (COP)]]*Tabla2[[#This Row],[CANTIDAD]]</f>
        <v/>
      </c>
      <c r="J39" s="161">
        <f>Tabla2[[#This Row],[TOTAL (COP)]]/$M$1</f>
        <v/>
      </c>
    </row>
    <row r="40" ht="15.75" customHeight="1">
      <c r="A40" s="117" t="inlineStr">
        <is>
          <t>2. TELECOMUNICACIONES COLOCALIZADAS</t>
        </is>
      </c>
      <c r="B40" s="110" t="inlineStr">
        <is>
          <t>2.1</t>
        </is>
      </c>
      <c r="C40" s="110" t="inlineStr">
        <is>
          <t>2.1.110</t>
        </is>
      </c>
      <c r="D40" s="111" t="inlineStr">
        <is>
          <t>Sistemas de seguridad</t>
        </is>
      </c>
      <c r="E40" s="110" t="inlineStr">
        <is>
          <t>SUMINISTRO</t>
        </is>
      </c>
      <c r="F40" s="110" t="inlineStr">
        <is>
          <t>UND</t>
        </is>
      </c>
      <c r="G40" s="110" t="n">
        <v>37</v>
      </c>
      <c r="H40" s="160" t="n">
        <v>20000000</v>
      </c>
      <c r="I40" s="161">
        <f>Tabla2[[#This Row],[VU (COP)]]*Tabla2[[#This Row],[CANTIDAD]]</f>
        <v/>
      </c>
      <c r="J40" s="161">
        <f>Tabla2[[#This Row],[TOTAL (COP)]]/$M$1</f>
        <v/>
      </c>
    </row>
    <row r="41" ht="15.75" customHeight="1">
      <c r="A41" s="116" t="inlineStr">
        <is>
          <t>2. TELECOMUNICACIONES COLOCALIZADAS</t>
        </is>
      </c>
      <c r="B41" s="107" t="inlineStr">
        <is>
          <t>2.1</t>
        </is>
      </c>
      <c r="C41" s="107" t="inlineStr">
        <is>
          <t>2.1.111</t>
        </is>
      </c>
      <c r="D41" s="108" t="inlineStr">
        <is>
          <t>Montaje e instalación</t>
        </is>
      </c>
      <c r="E41" s="107" t="inlineStr">
        <is>
          <t>OBRA</t>
        </is>
      </c>
      <c r="F41" s="107" t="inlineStr">
        <is>
          <t>UND</t>
        </is>
      </c>
      <c r="G41" s="107" t="n">
        <v>37</v>
      </c>
      <c r="H41" s="161" t="n">
        <v>15000000</v>
      </c>
      <c r="I41" s="161">
        <f>Tabla2[[#This Row],[VU (COP)]]*Tabla2[[#This Row],[CANTIDAD]]</f>
        <v/>
      </c>
      <c r="J41" s="161">
        <f>Tabla2[[#This Row],[TOTAL (COP)]]/$M$1</f>
        <v/>
      </c>
    </row>
    <row r="42" ht="15.75" customHeight="1">
      <c r="A42" s="117" t="inlineStr">
        <is>
          <t>2. TELECOMUNICACIONES COLOCALIZADAS</t>
        </is>
      </c>
      <c r="B42" s="110" t="inlineStr">
        <is>
          <t>2.1</t>
        </is>
      </c>
      <c r="C42" s="110" t="inlineStr">
        <is>
          <t>2.1.112</t>
        </is>
      </c>
      <c r="D42" s="111" t="inlineStr">
        <is>
          <t>Configuración red</t>
        </is>
      </c>
      <c r="E42" s="110" t="inlineStr">
        <is>
          <t>SERVICIO</t>
        </is>
      </c>
      <c r="F42" s="110" t="inlineStr">
        <is>
          <t>UND</t>
        </is>
      </c>
      <c r="G42" s="110" t="n">
        <v>1</v>
      </c>
      <c r="H42" s="160" t="n">
        <v>200000000</v>
      </c>
      <c r="I42" s="161">
        <f>Tabla2[[#This Row],[VU (COP)]]*Tabla2[[#This Row],[CANTIDAD]]</f>
        <v/>
      </c>
      <c r="J42" s="161">
        <f>Tabla2[[#This Row],[TOTAL (COP)]]/$M$1</f>
        <v/>
      </c>
    </row>
    <row r="43" ht="15.75" customHeight="1">
      <c r="A43" s="116" t="inlineStr">
        <is>
          <t>2. TELECOMUNICACIONES COLOCALIZADAS</t>
        </is>
      </c>
      <c r="B43" s="107" t="inlineStr">
        <is>
          <t>2.1</t>
        </is>
      </c>
      <c r="C43" s="107" t="inlineStr">
        <is>
          <t>2.1.113</t>
        </is>
      </c>
      <c r="D43" s="108" t="inlineStr">
        <is>
          <t>Pruebas cobertura</t>
        </is>
      </c>
      <c r="E43" s="107" t="inlineStr">
        <is>
          <t>SERVICIO</t>
        </is>
      </c>
      <c r="F43" s="107" t="inlineStr">
        <is>
          <t>UND</t>
        </is>
      </c>
      <c r="G43" s="107" t="n">
        <v>1</v>
      </c>
      <c r="H43" s="161" t="n">
        <v>150000000</v>
      </c>
      <c r="I43" s="161">
        <f>Tabla2[[#This Row],[VU (COP)]]*Tabla2[[#This Row],[CANTIDAD]]</f>
        <v/>
      </c>
      <c r="J43" s="161">
        <f>Tabla2[[#This Row],[TOTAL (COP)]]/$M$1</f>
        <v/>
      </c>
    </row>
    <row r="44" ht="15.75" customHeight="1">
      <c r="A44" s="117" t="inlineStr">
        <is>
          <t>2. TELECOMUNICACIONES COLOCALIZADAS</t>
        </is>
      </c>
      <c r="B44" s="110" t="inlineStr">
        <is>
          <t>2.1</t>
        </is>
      </c>
      <c r="C44" s="110" t="inlineStr">
        <is>
          <t>2.1.114</t>
        </is>
      </c>
      <c r="D44" s="111" t="inlineStr">
        <is>
          <t>Capacitación</t>
        </is>
      </c>
      <c r="E44" s="110" t="inlineStr">
        <is>
          <t>SERVICIO</t>
        </is>
      </c>
      <c r="F44" s="110" t="inlineStr">
        <is>
          <t>UND</t>
        </is>
      </c>
      <c r="G44" s="110" t="n">
        <v>1</v>
      </c>
      <c r="H44" s="160" t="n">
        <v>100000000</v>
      </c>
      <c r="I44" s="161">
        <f>Tabla2[[#This Row],[VU (COP)]]*Tabla2[[#This Row],[CANTIDAD]]</f>
        <v/>
      </c>
      <c r="J44" s="161">
        <f>Tabla2[[#This Row],[TOTAL (COP)]]/$M$1</f>
        <v/>
      </c>
    </row>
    <row r="45" ht="15.75" customHeight="1">
      <c r="A45" s="116" t="inlineStr">
        <is>
          <t>2. TELECOMUNICACIONES COLOCALIZADAS</t>
        </is>
      </c>
      <c r="B45" s="107" t="inlineStr">
        <is>
          <t>2.1</t>
        </is>
      </c>
      <c r="C45" s="107" t="inlineStr">
        <is>
          <t>2.1.115</t>
        </is>
      </c>
      <c r="D45" s="108" t="inlineStr">
        <is>
          <t>Repuestos (10%)</t>
        </is>
      </c>
      <c r="E45" s="107" t="inlineStr">
        <is>
          <t>SUMINISTRO</t>
        </is>
      </c>
      <c r="F45" s="107" t="inlineStr">
        <is>
          <t>UND</t>
        </is>
      </c>
      <c r="G45" s="107" t="n">
        <v>1</v>
      </c>
      <c r="H45" s="161" t="n">
        <v>1774000000</v>
      </c>
      <c r="I45" s="161">
        <f>Tabla2[[#This Row],[VU (COP)]]*Tabla2[[#This Row],[CANTIDAD]]</f>
        <v/>
      </c>
      <c r="J45" s="161">
        <f>Tabla2[[#This Row],[TOTAL (COP)]]/$M$1</f>
        <v/>
      </c>
    </row>
    <row r="46" ht="30" customHeight="1">
      <c r="A46" s="117" t="inlineStr">
        <is>
          <t>2. TELECOMUNICACIONES COLOCALIZADAS</t>
        </is>
      </c>
      <c r="B46" s="110" t="inlineStr">
        <is>
          <t>2.1</t>
        </is>
      </c>
      <c r="C46" s="110" t="inlineStr">
        <is>
          <t>2.1.116</t>
        </is>
      </c>
      <c r="D46" s="111" t="inlineStr">
        <is>
          <t>Bancos baterías UPS 24h sitios remotos TETRA (BCD §10.5 — química a definir vía RFQ)</t>
        </is>
      </c>
      <c r="E46" s="110" t="inlineStr">
        <is>
          <t>SUMINISTRO</t>
        </is>
      </c>
      <c r="F46" s="110" t="inlineStr">
        <is>
          <t>UND</t>
        </is>
      </c>
      <c r="G46" s="110" t="n">
        <v>37</v>
      </c>
      <c r="H46" s="160" t="n">
        <v>50000000</v>
      </c>
      <c r="I46" s="161">
        <f>Tabla2[[#This Row],[VU (COP)]]*Tabla2[[#This Row],[CANTIDAD]]</f>
        <v/>
      </c>
      <c r="J46" s="161">
        <f>Tabla2[[#This Row],[TOTAL (COP)]]/$M$1</f>
        <v/>
      </c>
    </row>
    <row r="47" ht="30" customHeight="1">
      <c r="A47" s="116" t="inlineStr">
        <is>
          <t>2. TELECOMUNICACIONES COLOCALIZADAS</t>
        </is>
      </c>
      <c r="B47" s="107" t="inlineStr">
        <is>
          <t>2.2</t>
        </is>
      </c>
      <c r="C47" s="107" t="inlineStr">
        <is>
          <t>2.2.100</t>
        </is>
      </c>
      <c r="D47" s="108" t="inlineStr">
        <is>
          <t>Estaciones base — red móvil broadband ferroviaria (complemento TETRA — tecnología por RFQ)</t>
        </is>
      </c>
      <c r="E47" s="107" t="inlineStr">
        <is>
          <t>SUMINISTRO</t>
        </is>
      </c>
      <c r="F47" s="107" t="inlineStr">
        <is>
          <t>UND</t>
        </is>
      </c>
      <c r="G47" s="107" t="n">
        <v>37</v>
      </c>
      <c r="H47" s="161" t="n">
        <v>45000000</v>
      </c>
      <c r="I47" s="161">
        <f>Tabla2[[#This Row],[VU (COP)]]*Tabla2[[#This Row],[CANTIDAD]]</f>
        <v/>
      </c>
      <c r="J47" s="161">
        <f>Tabla2[[#This Row],[TOTAL (COP)]]/$M$1</f>
        <v/>
      </c>
    </row>
    <row r="48" ht="30" customHeight="1">
      <c r="A48" s="117" t="inlineStr">
        <is>
          <t>2. TELECOMUNICACIONES COLOCALIZADAS</t>
        </is>
      </c>
      <c r="B48" s="110" t="inlineStr">
        <is>
          <t>2.2</t>
        </is>
      </c>
      <c r="C48" s="110" t="inlineStr">
        <is>
          <t>2.2.101</t>
        </is>
      </c>
      <c r="D48" s="111" t="inlineStr">
        <is>
          <t>Antenas — red móvil broadband ferroviaria (complemento TETRA — tecnología por RFQ)</t>
        </is>
      </c>
      <c r="E48" s="110" t="inlineStr">
        <is>
          <t>SUMINISTRO</t>
        </is>
      </c>
      <c r="F48" s="110" t="inlineStr">
        <is>
          <t>UND</t>
        </is>
      </c>
      <c r="G48" s="110" t="n">
        <v>37</v>
      </c>
      <c r="H48" s="160" t="n">
        <v>8000000</v>
      </c>
      <c r="I48" s="161">
        <f>Tabla2[[#This Row],[VU (COP)]]*Tabla2[[#This Row],[CANTIDAD]]</f>
        <v/>
      </c>
      <c r="J48" s="161">
        <f>Tabla2[[#This Row],[TOTAL (COP)]]/$M$1</f>
        <v/>
      </c>
    </row>
    <row r="49" ht="30" customHeight="1">
      <c r="A49" s="116" t="inlineStr">
        <is>
          <t>2. TELECOMUNICACIONES COLOCALIZADAS</t>
        </is>
      </c>
      <c r="B49" s="107" t="inlineStr">
        <is>
          <t>2.2</t>
        </is>
      </c>
      <c r="C49" s="107" t="inlineStr">
        <is>
          <t>2.2.102</t>
        </is>
      </c>
      <c r="D49" s="108" t="inlineStr">
        <is>
          <t>Radios embarcados — red móvil broadband ferroviaria (complemento TETRA — tecnología por RFQ)</t>
        </is>
      </c>
      <c r="E49" s="107" t="inlineStr">
        <is>
          <t>SUMINISTRO</t>
        </is>
      </c>
      <c r="F49" s="107" t="inlineStr">
        <is>
          <t>UND</t>
        </is>
      </c>
      <c r="G49" s="107" t="n">
        <v>30</v>
      </c>
      <c r="H49" s="161" t="n">
        <v>25000000</v>
      </c>
      <c r="I49" s="161">
        <f>Tabla2[[#This Row],[VU (COP)]]*Tabla2[[#This Row],[CANTIDAD]]</f>
        <v/>
      </c>
      <c r="J49" s="161">
        <f>Tabla2[[#This Row],[TOTAL (COP)]]/$M$1</f>
        <v/>
      </c>
    </row>
    <row r="50" ht="30" customHeight="1">
      <c r="A50" s="117" t="inlineStr">
        <is>
          <t>2. TELECOMUNICACIONES COLOCALIZADAS</t>
        </is>
      </c>
      <c r="B50" s="110" t="inlineStr">
        <is>
          <t>2.2</t>
        </is>
      </c>
      <c r="C50" s="110" t="inlineStr">
        <is>
          <t>2.2.103</t>
        </is>
      </c>
      <c r="D50" s="111" t="inlineStr">
        <is>
          <t>Sistema control — red móvil broadband ferroviaria (complemento TETRA)</t>
        </is>
      </c>
      <c r="E50" s="110" t="inlineStr">
        <is>
          <t>SUMINISTRO</t>
        </is>
      </c>
      <c r="F50" s="110" t="inlineStr">
        <is>
          <t>UND</t>
        </is>
      </c>
      <c r="G50" s="110" t="n">
        <v>1</v>
      </c>
      <c r="H50" s="160" t="n">
        <v>80000000</v>
      </c>
      <c r="I50" s="161">
        <f>Tabla2[[#This Row],[VU (COP)]]*Tabla2[[#This Row],[CANTIDAD]]</f>
        <v/>
      </c>
      <c r="J50" s="161">
        <f>Tabla2[[#This Row],[TOTAL (COP)]]/$M$1</f>
        <v/>
      </c>
    </row>
    <row r="51" ht="15.75" customHeight="1">
      <c r="A51" s="116" t="inlineStr">
        <is>
          <t>2. TELECOMUNICACIONES COLOCALIZADAS</t>
        </is>
      </c>
      <c r="B51" s="107" t="inlineStr">
        <is>
          <t>2.2</t>
        </is>
      </c>
      <c r="C51" s="107" t="inlineStr">
        <is>
          <t>2.2.104</t>
        </is>
      </c>
      <c r="D51" s="108" t="inlineStr">
        <is>
          <t>Interfaces TETRA — red móvil broadband ferroviaria</t>
        </is>
      </c>
      <c r="E51" s="107" t="inlineStr">
        <is>
          <t>SUMINISTRO</t>
        </is>
      </c>
      <c r="F51" s="107" t="inlineStr">
        <is>
          <t>UND</t>
        </is>
      </c>
      <c r="G51" s="107" t="n">
        <v>37</v>
      </c>
      <c r="H51" s="161" t="n">
        <v>5000000</v>
      </c>
      <c r="I51" s="161">
        <f>Tabla2[[#This Row],[VU (COP)]]*Tabla2[[#This Row],[CANTIDAD]]</f>
        <v/>
      </c>
      <c r="J51" s="161">
        <f>Tabla2[[#This Row],[TOTAL (COP)]]/$M$1</f>
        <v/>
      </c>
    </row>
    <row r="52" ht="15.75" customHeight="1">
      <c r="A52" s="117" t="inlineStr">
        <is>
          <t>2. TELECOMUNICACIONES COLOCALIZADAS</t>
        </is>
      </c>
      <c r="B52" s="110" t="inlineStr">
        <is>
          <t>2.2</t>
        </is>
      </c>
      <c r="C52" s="110" t="inlineStr">
        <is>
          <t>2.2.105</t>
        </is>
      </c>
      <c r="D52" s="111" t="inlineStr">
        <is>
          <t>Sistema redundancia</t>
        </is>
      </c>
      <c r="E52" s="110" t="inlineStr">
        <is>
          <t>SUMINISTRO</t>
        </is>
      </c>
      <c r="F52" s="110" t="inlineStr">
        <is>
          <t>UND</t>
        </is>
      </c>
      <c r="G52" s="110" t="n">
        <v>1</v>
      </c>
      <c r="H52" s="160" t="n">
        <v>150000000</v>
      </c>
      <c r="I52" s="161">
        <f>Tabla2[[#This Row],[VU (COP)]]*Tabla2[[#This Row],[CANTIDAD]]</f>
        <v/>
      </c>
      <c r="J52" s="161">
        <f>Tabla2[[#This Row],[TOTAL (COP)]]/$M$1</f>
        <v/>
      </c>
    </row>
    <row r="53" ht="15.75" customHeight="1">
      <c r="A53" s="116" t="inlineStr">
        <is>
          <t>2. TELECOMUNICACIONES COLOCALIZADAS</t>
        </is>
      </c>
      <c r="B53" s="107" t="inlineStr">
        <is>
          <t>2.2</t>
        </is>
      </c>
      <c r="C53" s="107" t="inlineStr">
        <is>
          <t>2.2.106</t>
        </is>
      </c>
      <c r="D53" s="108" t="inlineStr">
        <is>
          <t>Configuración dual</t>
        </is>
      </c>
      <c r="E53" s="107" t="inlineStr">
        <is>
          <t>SERVICIO</t>
        </is>
      </c>
      <c r="F53" s="107" t="inlineStr">
        <is>
          <t>UND</t>
        </is>
      </c>
      <c r="G53" s="107" t="n">
        <v>1</v>
      </c>
      <c r="H53" s="161" t="n">
        <v>100000000</v>
      </c>
      <c r="I53" s="161">
        <f>Tabla2[[#This Row],[VU (COP)]]*Tabla2[[#This Row],[CANTIDAD]]</f>
        <v/>
      </c>
      <c r="J53" s="161">
        <f>Tabla2[[#This Row],[TOTAL (COP)]]/$M$1</f>
        <v/>
      </c>
    </row>
    <row r="54" ht="15.75" customHeight="1">
      <c r="A54" s="117" t="inlineStr">
        <is>
          <t>2. TELECOMUNICACIONES COLOCALIZADAS</t>
        </is>
      </c>
      <c r="B54" s="110" t="inlineStr">
        <is>
          <t>2.2</t>
        </is>
      </c>
      <c r="C54" s="110" t="inlineStr">
        <is>
          <t>2.2.107</t>
        </is>
      </c>
      <c r="D54" s="111" t="inlineStr">
        <is>
          <t>Pruebas integración</t>
        </is>
      </c>
      <c r="E54" s="110" t="inlineStr">
        <is>
          <t>SERVICIO</t>
        </is>
      </c>
      <c r="F54" s="110" t="inlineStr">
        <is>
          <t>UND</t>
        </is>
      </c>
      <c r="G54" s="110" t="n">
        <v>1</v>
      </c>
      <c r="H54" s="160" t="n">
        <v>80000000</v>
      </c>
      <c r="I54" s="161">
        <f>Tabla2[[#This Row],[VU (COP)]]*Tabla2[[#This Row],[CANTIDAD]]</f>
        <v/>
      </c>
      <c r="J54" s="161">
        <f>Tabla2[[#This Row],[TOTAL (COP)]]/$M$1</f>
        <v/>
      </c>
    </row>
    <row r="55" ht="15.75" customHeight="1">
      <c r="A55" s="116" t="inlineStr">
        <is>
          <t>2. TELECOMUNICACIONES COLOCALIZADAS</t>
        </is>
      </c>
      <c r="B55" s="107" t="inlineStr">
        <is>
          <t>2.2</t>
        </is>
      </c>
      <c r="C55" s="107" t="inlineStr">
        <is>
          <t>2.2.108</t>
        </is>
      </c>
      <c r="D55" s="108" t="inlineStr">
        <is>
          <t>Repuestos (10%)</t>
        </is>
      </c>
      <c r="E55" s="107" t="inlineStr">
        <is>
          <t>SUMINISTRO</t>
        </is>
      </c>
      <c r="F55" s="107" t="inlineStr">
        <is>
          <t>UND</t>
        </is>
      </c>
      <c r="G55" s="107" t="n">
        <v>1</v>
      </c>
      <c r="H55" s="161" t="n">
        <v>312000000</v>
      </c>
      <c r="I55" s="161">
        <f>Tabla2[[#This Row],[VU (COP)]]*Tabla2[[#This Row],[CANTIDAD]]</f>
        <v/>
      </c>
      <c r="J55" s="161">
        <f>Tabla2[[#This Row],[TOTAL (COP)]]/$M$1</f>
        <v/>
      </c>
    </row>
    <row r="56" ht="30" customHeight="1">
      <c r="A56" s="117" t="inlineStr">
        <is>
          <t>2. TELECOMUNICACIONES COLOCALIZADAS</t>
        </is>
      </c>
      <c r="B56" s="110" t="inlineStr">
        <is>
          <t>2.4</t>
        </is>
      </c>
      <c r="C56" s="110" t="inlineStr">
        <is>
          <t>2.3.100</t>
        </is>
      </c>
      <c r="D56" s="111" t="inlineStr">
        <is>
          <t>Cable fibra óptica monomodo 48 hilos G.652.D OSP (BCD §6.1.1 — solución homogénea 526km + 10% gasa técnica)</t>
        </is>
      </c>
      <c r="E56" s="110" t="inlineStr">
        <is>
          <t>SUMINISTRO</t>
        </is>
      </c>
      <c r="F56" s="110" t="inlineStr">
        <is>
          <t>KM</t>
        </is>
      </c>
      <c r="G56" s="110" t="n">
        <v>579</v>
      </c>
      <c r="H56" s="160" t="n">
        <v>9811013</v>
      </c>
      <c r="I56" s="161">
        <f>Tabla2[[#This Row],[VU (COP)]]*Tabla2[[#This Row],[CANTIDAD]]</f>
        <v/>
      </c>
      <c r="J56" s="161">
        <f>Tabla2[[#This Row],[TOTAL (COP)]]/$M$1</f>
        <v/>
      </c>
    </row>
    <row r="57" ht="15.75" customHeight="1">
      <c r="A57" s="116" t="inlineStr">
        <is>
          <t>2. TELECOMUNICACIONES COLOCALIZADAS</t>
        </is>
      </c>
      <c r="B57" s="107" t="inlineStr">
        <is>
          <t>2.4</t>
        </is>
      </c>
      <c r="C57" s="107" t="inlineStr">
        <is>
          <t>2.3.101</t>
        </is>
      </c>
      <c r="D57" s="108" t="inlineStr">
        <is>
          <t>Mano de obra instalación (Tendido 526km + 10% Gasa Técnica)</t>
        </is>
      </c>
      <c r="E57" s="107" t="inlineStr">
        <is>
          <t>OBRA</t>
        </is>
      </c>
      <c r="F57" s="107" t="inlineStr">
        <is>
          <t>KM</t>
        </is>
      </c>
      <c r="G57" s="107" t="n">
        <v>579</v>
      </c>
      <c r="H57" s="161" t="n">
        <v>90188987</v>
      </c>
      <c r="I57" s="161">
        <f>Tabla2[[#This Row],[VU (COP)]]*Tabla2[[#This Row],[CANTIDAD]]</f>
        <v/>
      </c>
      <c r="J57" s="161">
        <f>Tabla2[[#This Row],[TOTAL (COP)]]/$M$1</f>
        <v/>
      </c>
    </row>
    <row r="58" ht="15.75" customHeight="1">
      <c r="A58" s="117" t="inlineStr">
        <is>
          <t>2. TELECOMUNICACIONES COLOCALIZADAS</t>
        </is>
      </c>
      <c r="B58" s="110" t="inlineStr">
        <is>
          <t>2.4</t>
        </is>
      </c>
      <c r="C58" s="110" t="inlineStr">
        <is>
          <t>2.3.102</t>
        </is>
      </c>
      <c r="D58" s="111" t="inlineStr">
        <is>
          <t>Tritubo 40mm</t>
        </is>
      </c>
      <c r="E58" s="110" t="inlineStr">
        <is>
          <t>SUMINISTRO</t>
        </is>
      </c>
      <c r="F58" s="110" t="inlineStr">
        <is>
          <t>ROLLO</t>
        </is>
      </c>
      <c r="G58" s="110" t="n">
        <v>1448</v>
      </c>
      <c r="H58" s="160" t="n">
        <v>15845</v>
      </c>
      <c r="I58" s="161">
        <f>Tabla2[[#This Row],[VU (COP)]]*Tabla2[[#This Row],[CANTIDAD]]</f>
        <v/>
      </c>
      <c r="J58" s="161">
        <f>Tabla2[[#This Row],[TOTAL (COP)]]/$M$1</f>
        <v/>
      </c>
    </row>
    <row r="59" ht="15.75" customHeight="1">
      <c r="A59" s="116" t="inlineStr">
        <is>
          <t>2. TELECOMUNICACIONES COLOCALIZADAS</t>
        </is>
      </c>
      <c r="B59" s="107" t="inlineStr">
        <is>
          <t>2.4</t>
        </is>
      </c>
      <c r="C59" s="107" t="inlineStr">
        <is>
          <t>2.3.103</t>
        </is>
      </c>
      <c r="D59" s="108" t="inlineStr">
        <is>
          <t>Cajas empalme 80x80</t>
        </is>
      </c>
      <c r="E59" s="107" t="inlineStr">
        <is>
          <t>SUMINISTRO</t>
        </is>
      </c>
      <c r="F59" s="107" t="inlineStr">
        <is>
          <t>UND</t>
        </is>
      </c>
      <c r="G59" s="107" t="n">
        <v>1930</v>
      </c>
      <c r="H59" s="161" t="n">
        <v>1350000</v>
      </c>
      <c r="I59" s="161">
        <f>Tabla2[[#This Row],[VU (COP)]]*Tabla2[[#This Row],[CANTIDAD]]</f>
        <v/>
      </c>
      <c r="J59" s="161">
        <f>Tabla2[[#This Row],[TOTAL (COP)]]/$M$1</f>
        <v/>
      </c>
    </row>
    <row r="60" ht="15.75" customHeight="1">
      <c r="A60" s="117" t="inlineStr">
        <is>
          <t>2. TELECOMUNICACIONES COLOCALIZADAS</t>
        </is>
      </c>
      <c r="B60" s="110" t="inlineStr">
        <is>
          <t>2.4</t>
        </is>
      </c>
      <c r="C60" s="110" t="inlineStr">
        <is>
          <t>2.3.104</t>
        </is>
      </c>
      <c r="D60" s="111" t="inlineStr">
        <is>
          <t>Uniones rápidas</t>
        </is>
      </c>
      <c r="E60" s="110" t="inlineStr">
        <is>
          <t>SUMINISTRO</t>
        </is>
      </c>
      <c r="F60" s="110" t="inlineStr">
        <is>
          <t>UND</t>
        </is>
      </c>
      <c r="G60" s="110" t="n">
        <v>5790</v>
      </c>
      <c r="H60" s="160" t="n">
        <v>35000</v>
      </c>
      <c r="I60" s="161">
        <f>Tabla2[[#This Row],[VU (COP)]]*Tabla2[[#This Row],[CANTIDAD]]</f>
        <v/>
      </c>
      <c r="J60" s="161">
        <f>Tabla2[[#This Row],[TOTAL (COP)]]/$M$1</f>
        <v/>
      </c>
    </row>
    <row r="61" ht="15.75" customHeight="1">
      <c r="A61" s="116" t="inlineStr">
        <is>
          <t>2. TELECOMUNICACIONES COLOCALIZADAS</t>
        </is>
      </c>
      <c r="B61" s="107" t="inlineStr">
        <is>
          <t>2.4</t>
        </is>
      </c>
      <c r="C61" s="107" t="inlineStr">
        <is>
          <t>2.3.105</t>
        </is>
      </c>
      <c r="D61" s="108" t="inlineStr">
        <is>
          <t>Fusionadoras</t>
        </is>
      </c>
      <c r="E61" s="107" t="inlineStr">
        <is>
          <t>SUMINISTRO</t>
        </is>
      </c>
      <c r="F61" s="107" t="inlineStr">
        <is>
          <t>UND</t>
        </is>
      </c>
      <c r="G61" s="107" t="n">
        <v>2</v>
      </c>
      <c r="H61" s="161" t="n">
        <v>50000000</v>
      </c>
      <c r="I61" s="161">
        <f>Tabla2[[#This Row],[VU (COP)]]*Tabla2[[#This Row],[CANTIDAD]]</f>
        <v/>
      </c>
      <c r="J61" s="161">
        <f>Tabla2[[#This Row],[TOTAL (COP)]]/$M$1</f>
        <v/>
      </c>
    </row>
    <row r="62" ht="15.75" customHeight="1">
      <c r="A62" s="117" t="inlineStr">
        <is>
          <t>2. TELECOMUNICACIONES COLOCALIZADAS</t>
        </is>
      </c>
      <c r="B62" s="110" t="inlineStr">
        <is>
          <t>2.4</t>
        </is>
      </c>
      <c r="C62" s="110" t="inlineStr">
        <is>
          <t>2.3.106</t>
        </is>
      </c>
      <c r="D62" s="111" t="inlineStr">
        <is>
          <t>OTDR triwavelength (1310/1550/1625 nm)</t>
        </is>
      </c>
      <c r="E62" s="110" t="inlineStr">
        <is>
          <t>SUMINISTRO</t>
        </is>
      </c>
      <c r="F62" s="110" t="inlineStr">
        <is>
          <t>UND</t>
        </is>
      </c>
      <c r="G62" s="110" t="n">
        <v>2</v>
      </c>
      <c r="H62" s="160" t="n">
        <v>90000000</v>
      </c>
      <c r="I62" s="161">
        <f>Tabla2[[#This Row],[VU (COP)]]*Tabla2[[#This Row],[CANTIDAD]]</f>
        <v/>
      </c>
      <c r="J62" s="161">
        <f>Tabla2[[#This Row],[TOTAL (COP)]]/$M$1</f>
        <v/>
      </c>
    </row>
    <row r="63" ht="15.75" customHeight="1">
      <c r="A63" s="116" t="inlineStr">
        <is>
          <t>2. TELECOMUNICACIONES COLOCALIZADAS</t>
        </is>
      </c>
      <c r="B63" s="107" t="inlineStr">
        <is>
          <t>2.4</t>
        </is>
      </c>
      <c r="C63" s="107" t="inlineStr">
        <is>
          <t>2.3.107</t>
        </is>
      </c>
      <c r="D63" s="108" t="inlineStr">
        <is>
          <t>Muflas fusionado</t>
        </is>
      </c>
      <c r="E63" s="107" t="inlineStr">
        <is>
          <t>SUMINISTRO</t>
        </is>
      </c>
      <c r="F63" s="107" t="inlineStr">
        <is>
          <t>UND</t>
        </is>
      </c>
      <c r="G63" s="107" t="n">
        <v>6800</v>
      </c>
      <c r="H63" s="161" t="n">
        <v>25000</v>
      </c>
      <c r="I63" s="161">
        <f>Tabla2[[#This Row],[VU (COP)]]*Tabla2[[#This Row],[CANTIDAD]]</f>
        <v/>
      </c>
      <c r="J63" s="161">
        <f>Tabla2[[#This Row],[TOTAL (COP)]]/$M$1</f>
        <v/>
      </c>
    </row>
    <row r="64" ht="15.75" customHeight="1">
      <c r="A64" s="117" t="inlineStr">
        <is>
          <t>2. TELECOMUNICACIONES COLOCALIZADAS</t>
        </is>
      </c>
      <c r="B64" s="110" t="inlineStr">
        <is>
          <t>2.4</t>
        </is>
      </c>
      <c r="C64" s="110" t="inlineStr">
        <is>
          <t>2.3.108</t>
        </is>
      </c>
      <c r="D64" s="111" t="inlineStr">
        <is>
          <t>Insumos fusionado</t>
        </is>
      </c>
      <c r="E64" s="110" t="inlineStr">
        <is>
          <t>SUMINISTRO</t>
        </is>
      </c>
      <c r="F64" s="110" t="inlineStr">
        <is>
          <t>UND</t>
        </is>
      </c>
      <c r="G64" s="110" t="n">
        <v>6200</v>
      </c>
      <c r="H64" s="160" t="n">
        <v>15000</v>
      </c>
      <c r="I64" s="161">
        <f>Tabla2[[#This Row],[VU (COP)]]*Tabla2[[#This Row],[CANTIDAD]]</f>
        <v/>
      </c>
      <c r="J64" s="161">
        <f>Tabla2[[#This Row],[TOTAL (COP)]]/$M$1</f>
        <v/>
      </c>
    </row>
    <row r="65" ht="15.75" customHeight="1">
      <c r="A65" s="116" t="inlineStr">
        <is>
          <t>2. TELECOMUNICACIONES COLOCALIZADAS</t>
        </is>
      </c>
      <c r="B65" s="107" t="inlineStr">
        <is>
          <t>2.4</t>
        </is>
      </c>
      <c r="C65" s="107" t="inlineStr">
        <is>
          <t>2.3.109</t>
        </is>
      </c>
      <c r="D65" s="108" t="inlineStr">
        <is>
          <t>Repuestos Estratégicos (Stock 3% Corredor)</t>
        </is>
      </c>
      <c r="E65" s="107" t="inlineStr">
        <is>
          <t>SUMINISTRO</t>
        </is>
      </c>
      <c r="F65" s="107" t="inlineStr">
        <is>
          <t>KM</t>
        </is>
      </c>
      <c r="G65" s="107" t="n">
        <v>16</v>
      </c>
      <c r="H65" s="161" t="n">
        <v>8000000</v>
      </c>
      <c r="I65" s="161">
        <f>Tabla2[[#This Row],[VU (COP)]]*Tabla2[[#This Row],[CANTIDAD]]</f>
        <v/>
      </c>
      <c r="J65" s="161">
        <f>Tabla2[[#This Row],[TOTAL (COP)]]/$M$1</f>
        <v/>
      </c>
    </row>
    <row r="66" ht="30" customHeight="1">
      <c r="A66" s="117" t="inlineStr">
        <is>
          <t>2. TELECOMUNICACIONES COLOCALIZADAS</t>
        </is>
      </c>
      <c r="B66" s="110" t="inlineStr">
        <is>
          <t>2.4</t>
        </is>
      </c>
      <c r="C66" s="110" t="inlineStr">
        <is>
          <t>2.4.100</t>
        </is>
      </c>
      <c r="D66" s="111" t="inlineStr">
        <is>
          <t>Habilitación Satelital Transitoria (Punto 42) — 5 terminales LEO + 12 meses suscripción (DT-SICC-2026-042, cadena 9.12→25.4)</t>
        </is>
      </c>
      <c r="E66" s="110" t="inlineStr">
        <is>
          <t>SUMINISTRO</t>
        </is>
      </c>
      <c r="F66" s="110" t="inlineStr">
        <is>
          <t>GLB</t>
        </is>
      </c>
      <c r="G66" s="110" t="n">
        <v>1</v>
      </c>
      <c r="H66" s="160" t="n">
        <v>1200000000</v>
      </c>
      <c r="I66" s="161">
        <f>Tabla2[[#This Row],[VU (COP)]]*Tabla2[[#This Row],[CANTIDAD]]</f>
        <v/>
      </c>
      <c r="J66" s="161">
        <f>Tabla2[[#This Row],[TOTAL (COP)]]/$M$1</f>
        <v/>
      </c>
    </row>
    <row r="67" ht="15.75" customHeight="1">
      <c r="A67" s="116" t="inlineStr">
        <is>
          <t>3. SISTEMAS ITS Y SEGURIDAD</t>
        </is>
      </c>
      <c r="B67" s="107" t="inlineStr">
        <is>
          <t>3.1</t>
        </is>
      </c>
      <c r="C67" s="107" t="inlineStr">
        <is>
          <t>3.1.100</t>
        </is>
      </c>
      <c r="D67" s="108" t="inlineStr">
        <is>
          <t>Cámaras PAN PTZ 4MP (73 unidades - cobertura completa)</t>
        </is>
      </c>
      <c r="E67" s="107" t="inlineStr">
        <is>
          <t>SUMINISTRO</t>
        </is>
      </c>
      <c r="F67" s="107" t="inlineStr">
        <is>
          <t>UND</t>
        </is>
      </c>
      <c r="G67" s="107" t="n">
        <v>73</v>
      </c>
      <c r="H67" s="161" t="n">
        <v>30000000</v>
      </c>
      <c r="I67" s="161">
        <f>Tabla2[[#This Row],[VU (COP)]]*Tabla2[[#This Row],[CANTIDAD]]</f>
        <v/>
      </c>
      <c r="J67" s="161">
        <f>Tabla2[[#This Row],[TOTAL (COP)]]/$M$1</f>
        <v/>
      </c>
    </row>
    <row r="68" ht="15.75" customHeight="1">
      <c r="A68" s="117" t="inlineStr">
        <is>
          <t>3. SISTEMAS ITS Y SEGURIDAD</t>
        </is>
      </c>
      <c r="B68" s="110" t="inlineStr">
        <is>
          <t>3.1</t>
        </is>
      </c>
      <c r="C68" s="110" t="inlineStr">
        <is>
          <t>3.1.101</t>
        </is>
      </c>
      <c r="D68" s="111" t="inlineStr">
        <is>
          <t>Cámaras talleres (12 unidades)</t>
        </is>
      </c>
      <c r="E68" s="110" t="inlineStr">
        <is>
          <t>SUMINISTRO</t>
        </is>
      </c>
      <c r="F68" s="110" t="inlineStr">
        <is>
          <t>UND</t>
        </is>
      </c>
      <c r="G68" s="110" t="n">
        <v>12</v>
      </c>
      <c r="H68" s="160" t="n">
        <v>6000000</v>
      </c>
      <c r="I68" s="161">
        <f>Tabla2[[#This Row],[VU (COP)]]*Tabla2[[#This Row],[CANTIDAD]]</f>
        <v/>
      </c>
      <c r="J68" s="161">
        <f>Tabla2[[#This Row],[TOTAL (COP)]]/$M$1</f>
        <v/>
      </c>
    </row>
    <row r="69" ht="15.75" customHeight="1">
      <c r="A69" s="116" t="inlineStr">
        <is>
          <t>3. SISTEMAS ITS Y SEGURIDAD</t>
        </is>
      </c>
      <c r="B69" s="107" t="inlineStr">
        <is>
          <t>3.1</t>
        </is>
      </c>
      <c r="C69" s="107" t="inlineStr">
        <is>
          <t>3.1.102</t>
        </is>
      </c>
      <c r="D69" s="108" t="inlineStr">
        <is>
          <t>Cámaras CCO (8 unidades)</t>
        </is>
      </c>
      <c r="E69" s="107" t="inlineStr">
        <is>
          <t>SUMINISTRO</t>
        </is>
      </c>
      <c r="F69" s="107" t="inlineStr">
        <is>
          <t>UND</t>
        </is>
      </c>
      <c r="G69" s="107" t="n">
        <v>8</v>
      </c>
      <c r="H69" s="161" t="n">
        <v>10000000</v>
      </c>
      <c r="I69" s="161">
        <f>Tabla2[[#This Row],[VU (COP)]]*Tabla2[[#This Row],[CANTIDAD]]</f>
        <v/>
      </c>
      <c r="J69" s="161">
        <f>Tabla2[[#This Row],[TOTAL (COP)]]/$M$1</f>
        <v/>
      </c>
    </row>
    <row r="70" ht="15.75" customHeight="1">
      <c r="A70" s="117" t="inlineStr">
        <is>
          <t>3. SISTEMAS ITS Y SEGURIDAD</t>
        </is>
      </c>
      <c r="B70" s="110" t="inlineStr">
        <is>
          <t>3.1</t>
        </is>
      </c>
      <c r="C70" s="110" t="inlineStr">
        <is>
          <t>3.1.103</t>
        </is>
      </c>
      <c r="D70" s="111" t="inlineStr">
        <is>
          <t>Cámaras estaciones (5 unidades)</t>
        </is>
      </c>
      <c r="E70" s="110" t="inlineStr">
        <is>
          <t>SUMINISTRO</t>
        </is>
      </c>
      <c r="F70" s="110" t="inlineStr">
        <is>
          <t>UND</t>
        </is>
      </c>
      <c r="G70" s="110" t="n">
        <v>5</v>
      </c>
      <c r="H70" s="160" t="n">
        <v>7000000</v>
      </c>
      <c r="I70" s="161">
        <f>Tabla2[[#This Row],[VU (COP)]]*Tabla2[[#This Row],[CANTIDAD]]</f>
        <v/>
      </c>
      <c r="J70" s="161">
        <f>Tabla2[[#This Row],[TOTAL (COP)]]/$M$1</f>
        <v/>
      </c>
    </row>
    <row r="71" ht="15.75" customHeight="1">
      <c r="A71" s="116" t="inlineStr">
        <is>
          <t>3. SISTEMAS ITS Y SEGURIDAD</t>
        </is>
      </c>
      <c r="B71" s="107" t="inlineStr">
        <is>
          <t>3.1</t>
        </is>
      </c>
      <c r="C71" s="107" t="inlineStr">
        <is>
          <t>3.1.104</t>
        </is>
      </c>
      <c r="D71" s="108" t="inlineStr">
        <is>
          <t>Sistema grabación</t>
        </is>
      </c>
      <c r="E71" s="107" t="inlineStr">
        <is>
          <t>SUMINISTRO</t>
        </is>
      </c>
      <c r="F71" s="107" t="inlineStr">
        <is>
          <t>UND</t>
        </is>
      </c>
      <c r="G71" s="107" t="n">
        <v>1</v>
      </c>
      <c r="H71" s="161" t="n">
        <v>150000000</v>
      </c>
      <c r="I71" s="161">
        <f>Tabla2[[#This Row],[VU (COP)]]*Tabla2[[#This Row],[CANTIDAD]]</f>
        <v/>
      </c>
      <c r="J71" s="161">
        <f>Tabla2[[#This Row],[TOTAL (COP)]]/$M$1</f>
        <v/>
      </c>
    </row>
    <row r="72" ht="15.75" customHeight="1">
      <c r="A72" s="117" t="inlineStr">
        <is>
          <t>3. SISTEMAS ITS Y SEGURIDAD</t>
        </is>
      </c>
      <c r="B72" s="110" t="inlineStr">
        <is>
          <t>3.1</t>
        </is>
      </c>
      <c r="C72" s="110" t="inlineStr">
        <is>
          <t>3.1.105</t>
        </is>
      </c>
      <c r="D72" s="111" t="inlineStr">
        <is>
          <t>Servidores almacenamiento</t>
        </is>
      </c>
      <c r="E72" s="110" t="inlineStr">
        <is>
          <t>SUMINISTRO</t>
        </is>
      </c>
      <c r="F72" s="110" t="inlineStr">
        <is>
          <t>UND</t>
        </is>
      </c>
      <c r="G72" s="110" t="n">
        <v>2</v>
      </c>
      <c r="H72" s="160" t="n">
        <v>80000000</v>
      </c>
      <c r="I72" s="161">
        <f>Tabla2[[#This Row],[VU (COP)]]*Tabla2[[#This Row],[CANTIDAD]]</f>
        <v/>
      </c>
      <c r="J72" s="161">
        <f>Tabla2[[#This Row],[TOTAL (COP)]]/$M$1</f>
        <v/>
      </c>
    </row>
    <row r="73" ht="15.75" customHeight="1">
      <c r="A73" s="116" t="inlineStr">
        <is>
          <t>3. SISTEMAS ITS Y SEGURIDAD</t>
        </is>
      </c>
      <c r="B73" s="107" t="inlineStr">
        <is>
          <t>3.1</t>
        </is>
      </c>
      <c r="C73" s="107" t="inlineStr">
        <is>
          <t>3.1.106</t>
        </is>
      </c>
      <c r="D73" s="108" t="inlineStr">
        <is>
          <t>Software análisis</t>
        </is>
      </c>
      <c r="E73" s="107" t="inlineStr">
        <is>
          <t>SUMINISTRO</t>
        </is>
      </c>
      <c r="F73" s="107" t="inlineStr">
        <is>
          <t>UND</t>
        </is>
      </c>
      <c r="G73" s="107" t="n">
        <v>1</v>
      </c>
      <c r="H73" s="161" t="n">
        <v>120000000</v>
      </c>
      <c r="I73" s="161">
        <f>Tabla2[[#This Row],[VU (COP)]]*Tabla2[[#This Row],[CANTIDAD]]</f>
        <v/>
      </c>
      <c r="J73" s="161">
        <f>Tabla2[[#This Row],[TOTAL (COP)]]/$M$1</f>
        <v/>
      </c>
    </row>
    <row r="74" ht="15.75" customHeight="1">
      <c r="A74" s="117" t="inlineStr">
        <is>
          <t>3. SISTEMAS ITS Y SEGURIDAD</t>
        </is>
      </c>
      <c r="B74" s="110" t="inlineStr">
        <is>
          <t>3.1</t>
        </is>
      </c>
      <c r="C74" s="110" t="inlineStr">
        <is>
          <t>3.1.107</t>
        </is>
      </c>
      <c r="D74" s="111" t="inlineStr">
        <is>
          <t>Monitores CCO</t>
        </is>
      </c>
      <c r="E74" s="110" t="inlineStr">
        <is>
          <t>SUMINISTRO</t>
        </is>
      </c>
      <c r="F74" s="110" t="inlineStr">
        <is>
          <t>UND</t>
        </is>
      </c>
      <c r="G74" s="110" t="n">
        <v>8</v>
      </c>
      <c r="H74" s="160" t="n">
        <v>15000000</v>
      </c>
      <c r="I74" s="161">
        <f>Tabla2[[#This Row],[VU (COP)]]*Tabla2[[#This Row],[CANTIDAD]]</f>
        <v/>
      </c>
      <c r="J74" s="161">
        <f>Tabla2[[#This Row],[TOTAL (COP)]]/$M$1</f>
        <v/>
      </c>
    </row>
    <row r="75" ht="15.75" customHeight="1">
      <c r="A75" s="116" t="inlineStr">
        <is>
          <t>3. SISTEMAS ITS Y SEGURIDAD</t>
        </is>
      </c>
      <c r="B75" s="107" t="inlineStr">
        <is>
          <t>3.1</t>
        </is>
      </c>
      <c r="C75" s="107" t="inlineStr">
        <is>
          <t>3.1.108</t>
        </is>
      </c>
      <c r="D75" s="108" t="inlineStr">
        <is>
          <t>Instalación y configuración</t>
        </is>
      </c>
      <c r="E75" s="107" t="inlineStr">
        <is>
          <t>SERVICIO</t>
        </is>
      </c>
      <c r="F75" s="107" t="inlineStr">
        <is>
          <t>UND</t>
        </is>
      </c>
      <c r="G75" s="107" t="n">
        <v>73</v>
      </c>
      <c r="H75" s="161" t="n">
        <v>2000000</v>
      </c>
      <c r="I75" s="161">
        <f>Tabla2[[#This Row],[VU (COP)]]*Tabla2[[#This Row],[CANTIDAD]]</f>
        <v/>
      </c>
      <c r="J75" s="161">
        <f>Tabla2[[#This Row],[TOTAL (COP)]]/$M$1</f>
        <v/>
      </c>
    </row>
    <row r="76" ht="15.75" customHeight="1">
      <c r="A76" s="117" t="inlineStr">
        <is>
          <t>3. SISTEMAS ITS Y SEGURIDAD</t>
        </is>
      </c>
      <c r="B76" s="110" t="inlineStr">
        <is>
          <t>3.1</t>
        </is>
      </c>
      <c r="C76" s="110" t="inlineStr">
        <is>
          <t>3.1.109</t>
        </is>
      </c>
      <c r="D76" s="111" t="inlineStr">
        <is>
          <t>Repuestos (10%)</t>
        </is>
      </c>
      <c r="E76" s="110" t="inlineStr">
        <is>
          <t>SUMINISTRO</t>
        </is>
      </c>
      <c r="F76" s="110" t="inlineStr">
        <is>
          <t>UND</t>
        </is>
      </c>
      <c r="G76" s="110" t="n">
        <v>1</v>
      </c>
      <c r="H76" s="160" t="n">
        <v>307300000</v>
      </c>
      <c r="I76" s="161">
        <f>Tabla2[[#This Row],[VU (COP)]]*Tabla2[[#This Row],[CANTIDAD]]</f>
        <v/>
      </c>
      <c r="J76" s="161">
        <f>Tabla2[[#This Row],[TOTAL (COP)]]/$M$1</f>
        <v/>
      </c>
    </row>
    <row r="77" ht="15.75" customHeight="1">
      <c r="A77" s="116" t="inlineStr">
        <is>
          <t>3. SISTEMAS ITS Y SEGURIDAD</t>
        </is>
      </c>
      <c r="B77" s="107" t="inlineStr">
        <is>
          <t>3.2</t>
        </is>
      </c>
      <c r="C77" s="107" t="inlineStr">
        <is>
          <t>3.2.100</t>
        </is>
      </c>
      <c r="D77" s="108" t="inlineStr">
        <is>
          <t>Lectores RFID control accesos (ISO 14443, IP65/IK10)</t>
        </is>
      </c>
      <c r="E77" s="107" t="inlineStr">
        <is>
          <t>SUMINISTRO</t>
        </is>
      </c>
      <c r="F77" s="107" t="inlineStr">
        <is>
          <t>UND</t>
        </is>
      </c>
      <c r="G77" s="107" t="n">
        <v>100</v>
      </c>
      <c r="H77" s="161" t="n">
        <v>3000000</v>
      </c>
      <c r="I77" s="161">
        <f>Tabla2[[#This Row],[VU (COP)]]*Tabla2[[#This Row],[CANTIDAD]]</f>
        <v/>
      </c>
      <c r="J77" s="161">
        <f>Tabla2[[#This Row],[TOTAL (COP)]]/$M$1</f>
        <v/>
      </c>
    </row>
    <row r="78" ht="15.75" customHeight="1">
      <c r="A78" s="117" t="inlineStr">
        <is>
          <t>3. SISTEMAS ITS Y SEGURIDAD</t>
        </is>
      </c>
      <c r="B78" s="110" t="inlineStr">
        <is>
          <t>3.2</t>
        </is>
      </c>
      <c r="C78" s="110" t="inlineStr">
        <is>
          <t>3.2.101</t>
        </is>
      </c>
      <c r="D78" s="111" t="inlineStr">
        <is>
          <t>Tarjetas RFID</t>
        </is>
      </c>
      <c r="E78" s="110" t="inlineStr">
        <is>
          <t>SUMINISTRO</t>
        </is>
      </c>
      <c r="F78" s="110" t="inlineStr">
        <is>
          <t>UND</t>
        </is>
      </c>
      <c r="G78" s="110" t="n">
        <v>1000</v>
      </c>
      <c r="H78" s="160" t="n">
        <v>25000</v>
      </c>
      <c r="I78" s="161">
        <f>Tabla2[[#This Row],[VU (COP)]]*Tabla2[[#This Row],[CANTIDAD]]</f>
        <v/>
      </c>
      <c r="J78" s="161">
        <f>Tabla2[[#This Row],[TOTAL (COP)]]/$M$1</f>
        <v/>
      </c>
    </row>
    <row r="79" ht="15.75" customHeight="1">
      <c r="A79" s="116" t="inlineStr">
        <is>
          <t>3. SISTEMAS ITS Y SEGURIDAD</t>
        </is>
      </c>
      <c r="B79" s="107" t="inlineStr">
        <is>
          <t>3.2</t>
        </is>
      </c>
      <c r="C79" s="107" t="inlineStr">
        <is>
          <t>3.2.102</t>
        </is>
      </c>
      <c r="D79" s="108" t="inlineStr">
        <is>
          <t>Sistema biométrico</t>
        </is>
      </c>
      <c r="E79" s="107" t="inlineStr">
        <is>
          <t>SUMINISTRO</t>
        </is>
      </c>
      <c r="F79" s="107" t="inlineStr">
        <is>
          <t>UND</t>
        </is>
      </c>
      <c r="G79" s="107" t="n">
        <v>5</v>
      </c>
      <c r="H79" s="161" t="n">
        <v>50000000</v>
      </c>
      <c r="I79" s="161">
        <f>Tabla2[[#This Row],[VU (COP)]]*Tabla2[[#This Row],[CANTIDAD]]</f>
        <v/>
      </c>
      <c r="J79" s="161">
        <f>Tabla2[[#This Row],[TOTAL (COP)]]/$M$1</f>
        <v/>
      </c>
    </row>
    <row r="80" ht="15.75" customHeight="1">
      <c r="A80" s="117" t="inlineStr">
        <is>
          <t>3. SISTEMAS ITS Y SEGURIDAD</t>
        </is>
      </c>
      <c r="B80" s="110" t="inlineStr">
        <is>
          <t>3.2</t>
        </is>
      </c>
      <c r="C80" s="110" t="inlineStr">
        <is>
          <t>3.2.103</t>
        </is>
      </c>
      <c r="D80" s="111" t="inlineStr">
        <is>
          <t>Software control accesos</t>
        </is>
      </c>
      <c r="E80" s="110" t="inlineStr">
        <is>
          <t>SUMINISTRO</t>
        </is>
      </c>
      <c r="F80" s="110" t="inlineStr">
        <is>
          <t>UND</t>
        </is>
      </c>
      <c r="G80" s="110" t="n">
        <v>1</v>
      </c>
      <c r="H80" s="160" t="n">
        <v>80000000</v>
      </c>
      <c r="I80" s="161">
        <f>Tabla2[[#This Row],[VU (COP)]]*Tabla2[[#This Row],[CANTIDAD]]</f>
        <v/>
      </c>
      <c r="J80" s="161">
        <f>Tabla2[[#This Row],[TOTAL (COP)]]/$M$1</f>
        <v/>
      </c>
    </row>
    <row r="81" ht="15.75" customHeight="1">
      <c r="A81" s="116" t="inlineStr">
        <is>
          <t>3. SISTEMAS ITS Y SEGURIDAD</t>
        </is>
      </c>
      <c r="B81" s="107" t="inlineStr">
        <is>
          <t>3.2</t>
        </is>
      </c>
      <c r="C81" s="107" t="inlineStr">
        <is>
          <t>3.2.104</t>
        </is>
      </c>
      <c r="D81" s="108" t="inlineStr">
        <is>
          <t>Cerraduras electrónicas</t>
        </is>
      </c>
      <c r="E81" s="107" t="inlineStr">
        <is>
          <t>SUMINISTRO</t>
        </is>
      </c>
      <c r="F81" s="107" t="inlineStr">
        <is>
          <t>UND</t>
        </is>
      </c>
      <c r="G81" s="107" t="n">
        <v>50</v>
      </c>
      <c r="H81" s="161" t="n">
        <v>8000000</v>
      </c>
      <c r="I81" s="161">
        <f>Tabla2[[#This Row],[VU (COP)]]*Tabla2[[#This Row],[CANTIDAD]]</f>
        <v/>
      </c>
      <c r="J81" s="161">
        <f>Tabla2[[#This Row],[TOTAL (COP)]]/$M$1</f>
        <v/>
      </c>
    </row>
    <row r="82" ht="15.75" customHeight="1">
      <c r="A82" s="117" t="inlineStr">
        <is>
          <t>3. SISTEMAS ITS Y SEGURIDAD</t>
        </is>
      </c>
      <c r="B82" s="110" t="inlineStr">
        <is>
          <t>3.2</t>
        </is>
      </c>
      <c r="C82" s="110" t="inlineStr">
        <is>
          <t>3.2.105</t>
        </is>
      </c>
      <c r="D82" s="111" t="inlineStr">
        <is>
          <t>Intercomunicadores</t>
        </is>
      </c>
      <c r="E82" s="110" t="inlineStr">
        <is>
          <t>SUMINISTRO</t>
        </is>
      </c>
      <c r="F82" s="110" t="inlineStr">
        <is>
          <t>UND</t>
        </is>
      </c>
      <c r="G82" s="110" t="n">
        <v>20</v>
      </c>
      <c r="H82" s="160" t="n">
        <v>15000000</v>
      </c>
      <c r="I82" s="161">
        <f>Tabla2[[#This Row],[VU (COP)]]*Tabla2[[#This Row],[CANTIDAD]]</f>
        <v/>
      </c>
      <c r="J82" s="161">
        <f>Tabla2[[#This Row],[TOTAL (COP)]]/$M$1</f>
        <v/>
      </c>
    </row>
    <row r="83" ht="15.75" customHeight="1">
      <c r="A83" s="116" t="inlineStr">
        <is>
          <t>3. SISTEMAS ITS Y SEGURIDAD</t>
        </is>
      </c>
      <c r="B83" s="107" t="inlineStr">
        <is>
          <t>3.2</t>
        </is>
      </c>
      <c r="C83" s="107" t="inlineStr">
        <is>
          <t>3.2.106</t>
        </is>
      </c>
      <c r="D83" s="108" t="inlineStr">
        <is>
          <t>Instalación y configuración</t>
        </is>
      </c>
      <c r="E83" s="107" t="inlineStr">
        <is>
          <t>SERVICIO</t>
        </is>
      </c>
      <c r="F83" s="107" t="inlineStr">
        <is>
          <t>UND</t>
        </is>
      </c>
      <c r="G83" s="107" t="n">
        <v>1</v>
      </c>
      <c r="H83" s="161" t="n">
        <v>100000000</v>
      </c>
      <c r="I83" s="161">
        <f>Tabla2[[#This Row],[VU (COP)]]*Tabla2[[#This Row],[CANTIDAD]]</f>
        <v/>
      </c>
      <c r="J83" s="161">
        <f>Tabla2[[#This Row],[TOTAL (COP)]]/$M$1</f>
        <v/>
      </c>
    </row>
    <row r="84" ht="15.75" customHeight="1">
      <c r="A84" s="117" t="inlineStr">
        <is>
          <t>3. SISTEMAS ITS Y SEGURIDAD</t>
        </is>
      </c>
      <c r="B84" s="110" t="inlineStr">
        <is>
          <t>3.2</t>
        </is>
      </c>
      <c r="C84" s="110" t="inlineStr">
        <is>
          <t>3.2.107</t>
        </is>
      </c>
      <c r="D84" s="111" t="inlineStr">
        <is>
          <t>Repuestos (10%)</t>
        </is>
      </c>
      <c r="E84" s="110" t="inlineStr">
        <is>
          <t>SUMINISTRO</t>
        </is>
      </c>
      <c r="F84" s="110" t="inlineStr">
        <is>
          <t>UND</t>
        </is>
      </c>
      <c r="G84" s="110" t="n">
        <v>1</v>
      </c>
      <c r="H84" s="160" t="n">
        <v>145500000</v>
      </c>
      <c r="I84" s="161">
        <f>Tabla2[[#This Row],[VU (COP)]]*Tabla2[[#This Row],[CANTIDAD]]</f>
        <v/>
      </c>
      <c r="J84" s="161">
        <f>Tabla2[[#This Row],[TOTAL (COP)]]/$M$1</f>
        <v/>
      </c>
    </row>
    <row r="85" ht="15.75" customHeight="1">
      <c r="A85" s="116" t="inlineStr">
        <is>
          <t>3. SISTEMAS ITS Y SEGURIDAD</t>
        </is>
      </c>
      <c r="B85" s="107" t="inlineStr">
        <is>
          <t>3.3</t>
        </is>
      </c>
      <c r="C85" s="107" t="inlineStr">
        <is>
          <t>3.3.100</t>
        </is>
      </c>
      <c r="D85" s="108" t="inlineStr">
        <is>
          <t>Detectores humo</t>
        </is>
      </c>
      <c r="E85" s="107" t="inlineStr">
        <is>
          <t>SUMINISTRO</t>
        </is>
      </c>
      <c r="F85" s="107" t="inlineStr">
        <is>
          <t>UND</t>
        </is>
      </c>
      <c r="G85" s="107" t="n">
        <v>200</v>
      </c>
      <c r="H85" s="161" t="n">
        <v>150000</v>
      </c>
      <c r="I85" s="161">
        <f>Tabla2[[#This Row],[VU (COP)]]*Tabla2[[#This Row],[CANTIDAD]]</f>
        <v/>
      </c>
      <c r="J85" s="161">
        <f>Tabla2[[#This Row],[TOTAL (COP)]]/$M$1</f>
        <v/>
      </c>
    </row>
    <row r="86" ht="15.75" customHeight="1">
      <c r="A86" s="117" t="inlineStr">
        <is>
          <t>3. SISTEMAS ITS Y SEGURIDAD</t>
        </is>
      </c>
      <c r="B86" s="110" t="inlineStr">
        <is>
          <t>3.3</t>
        </is>
      </c>
      <c r="C86" s="110" t="inlineStr">
        <is>
          <t>3.3.101</t>
        </is>
      </c>
      <c r="D86" s="111" t="inlineStr">
        <is>
          <t>Detectores temperatura</t>
        </is>
      </c>
      <c r="E86" s="110" t="inlineStr">
        <is>
          <t>SUMINISTRO</t>
        </is>
      </c>
      <c r="F86" s="110" t="inlineStr">
        <is>
          <t>UND</t>
        </is>
      </c>
      <c r="G86" s="110" t="n">
        <v>150</v>
      </c>
      <c r="H86" s="160" t="n">
        <v>200000</v>
      </c>
      <c r="I86" s="161">
        <f>Tabla2[[#This Row],[VU (COP)]]*Tabla2[[#This Row],[CANTIDAD]]</f>
        <v/>
      </c>
      <c r="J86" s="161">
        <f>Tabla2[[#This Row],[TOTAL (COP)]]/$M$1</f>
        <v/>
      </c>
    </row>
    <row r="87" ht="15.75" customHeight="1">
      <c r="A87" s="116" t="inlineStr">
        <is>
          <t>3. SISTEMAS ITS Y SEGURIDAD</t>
        </is>
      </c>
      <c r="B87" s="107" t="inlineStr">
        <is>
          <t>3.3</t>
        </is>
      </c>
      <c r="C87" s="107" t="inlineStr">
        <is>
          <t>3.3.102</t>
        </is>
      </c>
      <c r="D87" s="108" t="inlineStr">
        <is>
          <t>Sistema aspersores</t>
        </is>
      </c>
      <c r="E87" s="107" t="inlineStr">
        <is>
          <t>SUMINISTRO</t>
        </is>
      </c>
      <c r="F87" s="107" t="inlineStr">
        <is>
          <t>UND</t>
        </is>
      </c>
      <c r="G87" s="107" t="n">
        <v>50</v>
      </c>
      <c r="H87" s="161" t="n">
        <v>800000</v>
      </c>
      <c r="I87" s="161">
        <f>Tabla2[[#This Row],[VU (COP)]]*Tabla2[[#This Row],[CANTIDAD]]</f>
        <v/>
      </c>
      <c r="J87" s="161">
        <f>Tabla2[[#This Row],[TOTAL (COP)]]/$M$1</f>
        <v/>
      </c>
    </row>
    <row r="88" ht="15.75" customHeight="1">
      <c r="A88" s="117" t="inlineStr">
        <is>
          <t>3. SISTEMAS ITS Y SEGURIDAD</t>
        </is>
      </c>
      <c r="B88" s="110" t="inlineStr">
        <is>
          <t>3.3</t>
        </is>
      </c>
      <c r="C88" s="110" t="inlineStr">
        <is>
          <t>3.3.103</t>
        </is>
      </c>
      <c r="D88" s="111" t="inlineStr">
        <is>
          <t>Extintores</t>
        </is>
      </c>
      <c r="E88" s="110" t="inlineStr">
        <is>
          <t>SUMINISTRO</t>
        </is>
      </c>
      <c r="F88" s="110" t="inlineStr">
        <is>
          <t>UND</t>
        </is>
      </c>
      <c r="G88" s="110" t="n">
        <v>100</v>
      </c>
      <c r="H88" s="160" t="n">
        <v>500000</v>
      </c>
      <c r="I88" s="161">
        <f>Tabla2[[#This Row],[VU (COP)]]*Tabla2[[#This Row],[CANTIDAD]]</f>
        <v/>
      </c>
      <c r="J88" s="161">
        <f>Tabla2[[#This Row],[TOTAL (COP)]]/$M$1</f>
        <v/>
      </c>
    </row>
    <row r="89" ht="15.75" customHeight="1">
      <c r="A89" s="116" t="inlineStr">
        <is>
          <t>3. SISTEMAS ITS Y SEGURIDAD</t>
        </is>
      </c>
      <c r="B89" s="107" t="inlineStr">
        <is>
          <t>3.3</t>
        </is>
      </c>
      <c r="C89" s="107" t="inlineStr">
        <is>
          <t>3.3.104</t>
        </is>
      </c>
      <c r="D89" s="108" t="inlineStr">
        <is>
          <t>Sistema alarma</t>
        </is>
      </c>
      <c r="E89" s="107" t="inlineStr">
        <is>
          <t>SUMINISTRO</t>
        </is>
      </c>
      <c r="F89" s="107" t="inlineStr">
        <is>
          <t>UND</t>
        </is>
      </c>
      <c r="G89" s="107" t="n">
        <v>1</v>
      </c>
      <c r="H89" s="161" t="n">
        <v>120000000</v>
      </c>
      <c r="I89" s="161">
        <f>Tabla2[[#This Row],[VU (COP)]]*Tabla2[[#This Row],[CANTIDAD]]</f>
        <v/>
      </c>
      <c r="J89" s="161">
        <f>Tabla2[[#This Row],[TOTAL (COP)]]/$M$1</f>
        <v/>
      </c>
    </row>
    <row r="90" ht="15.75" customHeight="1">
      <c r="A90" s="117" t="inlineStr">
        <is>
          <t>3. SISTEMAS ITS Y SEGURIDAD</t>
        </is>
      </c>
      <c r="B90" s="110" t="inlineStr">
        <is>
          <t>3.3</t>
        </is>
      </c>
      <c r="C90" s="110" t="inlineStr">
        <is>
          <t>3.3.105</t>
        </is>
      </c>
      <c r="D90" s="111" t="inlineStr">
        <is>
          <t>Botones emergencia</t>
        </is>
      </c>
      <c r="E90" s="110" t="inlineStr">
        <is>
          <t>SUMINISTRO</t>
        </is>
      </c>
      <c r="F90" s="110" t="inlineStr">
        <is>
          <t>UND</t>
        </is>
      </c>
      <c r="G90" s="110" t="n">
        <v>30</v>
      </c>
      <c r="H90" s="160" t="n">
        <v>500000</v>
      </c>
      <c r="I90" s="161">
        <f>Tabla2[[#This Row],[VU (COP)]]*Tabla2[[#This Row],[CANTIDAD]]</f>
        <v/>
      </c>
      <c r="J90" s="161">
        <f>Tabla2[[#This Row],[TOTAL (COP)]]/$M$1</f>
        <v/>
      </c>
    </row>
    <row r="91" ht="15.75" customHeight="1">
      <c r="A91" s="116" t="inlineStr">
        <is>
          <t>3. SISTEMAS ITS Y SEGURIDAD</t>
        </is>
      </c>
      <c r="B91" s="107" t="inlineStr">
        <is>
          <t>3.3</t>
        </is>
      </c>
      <c r="C91" s="107" t="inlineStr">
        <is>
          <t>3.3.106</t>
        </is>
      </c>
      <c r="D91" s="108" t="inlineStr">
        <is>
          <t>Instalación</t>
        </is>
      </c>
      <c r="E91" s="107" t="inlineStr">
        <is>
          <t>SUMINISTRO</t>
        </is>
      </c>
      <c r="F91" s="107" t="inlineStr">
        <is>
          <t>UND</t>
        </is>
      </c>
      <c r="G91" s="107" t="n">
        <v>1</v>
      </c>
      <c r="H91" s="161" t="n">
        <v>80000000</v>
      </c>
      <c r="I91" s="161">
        <f>Tabla2[[#This Row],[VU (COP)]]*Tabla2[[#This Row],[CANTIDAD]]</f>
        <v/>
      </c>
      <c r="J91" s="161">
        <f>Tabla2[[#This Row],[TOTAL (COP)]]/$M$1</f>
        <v/>
      </c>
    </row>
    <row r="92" ht="15.75" customHeight="1">
      <c r="A92" s="117" t="inlineStr">
        <is>
          <t>3. SISTEMAS ITS Y SEGURIDAD</t>
        </is>
      </c>
      <c r="B92" s="110" t="inlineStr">
        <is>
          <t>3.3</t>
        </is>
      </c>
      <c r="C92" s="110" t="inlineStr">
        <is>
          <t>3.3.107</t>
        </is>
      </c>
      <c r="D92" s="111" t="inlineStr">
        <is>
          <t>Repuestos (10%)</t>
        </is>
      </c>
      <c r="E92" s="110" t="inlineStr">
        <is>
          <t>SUMINISTRO</t>
        </is>
      </c>
      <c r="F92" s="110" t="inlineStr">
        <is>
          <t>UND</t>
        </is>
      </c>
      <c r="G92" s="110" t="n">
        <v>1</v>
      </c>
      <c r="H92" s="160" t="n">
        <v>36500000</v>
      </c>
      <c r="I92" s="161">
        <f>Tabla2[[#This Row],[VU (COP)]]*Tabla2[[#This Row],[CANTIDAD]]</f>
        <v/>
      </c>
      <c r="J92" s="161">
        <f>Tabla2[[#This Row],[TOTAL (COP)]]/$M$1</f>
        <v/>
      </c>
    </row>
    <row r="93" ht="15.75" customHeight="1">
      <c r="A93" s="116" t="inlineStr">
        <is>
          <t>4. PASOS A NIVEL</t>
        </is>
      </c>
      <c r="B93" s="107" t="inlineStr">
        <is>
          <t>4.1</t>
        </is>
      </c>
      <c r="C93" s="107" t="inlineStr">
        <is>
          <t>4.1.100</t>
        </is>
      </c>
      <c r="D93" s="108" t="inlineStr">
        <is>
          <t>Sistemas barreras automáticas SIL-3 vital (FRA Part 236 Subpart I)</t>
        </is>
      </c>
      <c r="E93" s="107" t="inlineStr">
        <is>
          <t>SUMINISTRO</t>
        </is>
      </c>
      <c r="F93" s="107" t="inlineStr">
        <is>
          <t>UND</t>
        </is>
      </c>
      <c r="G93" s="107" t="n">
        <v>9</v>
      </c>
      <c r="H93" s="161" t="n">
        <v>180000000</v>
      </c>
      <c r="I93" s="161">
        <f>Tabla2[[#This Row],[VU (COP)]]*Tabla2[[#This Row],[CANTIDAD]]</f>
        <v/>
      </c>
      <c r="J93" s="161">
        <f>Tabla2[[#This Row],[TOTAL (COP)]]/$M$1</f>
        <v/>
      </c>
    </row>
    <row r="94" ht="15.75" customHeight="1">
      <c r="A94" s="117" t="inlineStr">
        <is>
          <t>4. PASOS A NIVEL</t>
        </is>
      </c>
      <c r="B94" s="110" t="inlineStr">
        <is>
          <t>4.1</t>
        </is>
      </c>
      <c r="C94" s="110" t="inlineStr">
        <is>
          <t>4.1.101</t>
        </is>
      </c>
      <c r="D94" s="111" t="inlineStr">
        <is>
          <t>Senalización LED (Res. 20243040045005)</t>
        </is>
      </c>
      <c r="E94" s="110" t="inlineStr">
        <is>
          <t>SUMINISTRO</t>
        </is>
      </c>
      <c r="F94" s="110" t="inlineStr">
        <is>
          <t>UND</t>
        </is>
      </c>
      <c r="G94" s="110" t="n">
        <v>9</v>
      </c>
      <c r="H94" s="160" t="n">
        <v>80000000</v>
      </c>
      <c r="I94" s="161">
        <f>Tabla2[[#This Row],[VU (COP)]]*Tabla2[[#This Row],[CANTIDAD]]</f>
        <v/>
      </c>
      <c r="J94" s="161">
        <f>Tabla2[[#This Row],[TOTAL (COP)]]/$M$1</f>
        <v/>
      </c>
    </row>
    <row r="95" ht="15.75" customHeight="1">
      <c r="A95" s="116" t="inlineStr">
        <is>
          <t>4. PASOS A NIVEL</t>
        </is>
      </c>
      <c r="B95" s="107" t="inlineStr">
        <is>
          <t>4.1</t>
        </is>
      </c>
      <c r="C95" s="107" t="inlineStr">
        <is>
          <t>4.1.102</t>
        </is>
      </c>
      <c r="D95" s="108" t="inlineStr">
        <is>
          <t>Sistemas detección vehículos SIL-3 vital (FRA Part 236 Subpart I)</t>
        </is>
      </c>
      <c r="E95" s="107" t="inlineStr">
        <is>
          <t>SUMINISTRO</t>
        </is>
      </c>
      <c r="F95" s="107" t="inlineStr">
        <is>
          <t>UND</t>
        </is>
      </c>
      <c r="G95" s="107" t="n">
        <v>9</v>
      </c>
      <c r="H95" s="161" t="n">
        <v>360000000</v>
      </c>
      <c r="I95" s="161">
        <f>Tabla2[[#This Row],[VU (COP)]]*Tabla2[[#This Row],[CANTIDAD]]</f>
        <v/>
      </c>
      <c r="J95" s="161">
        <f>Tabla2[[#This Row],[TOTAL (COP)]]/$M$1</f>
        <v/>
      </c>
    </row>
    <row r="96" ht="15.75" customHeight="1">
      <c r="A96" s="117" t="inlineStr">
        <is>
          <t>4. PASOS A NIVEL</t>
        </is>
      </c>
      <c r="B96" s="110" t="inlineStr">
        <is>
          <t>4.1</t>
        </is>
      </c>
      <c r="C96" s="110" t="inlineStr">
        <is>
          <t>4.1.103</t>
        </is>
      </c>
      <c r="D96" s="111" t="inlineStr">
        <is>
          <t>Sistemas comunicación</t>
        </is>
      </c>
      <c r="E96" s="110" t="inlineStr">
        <is>
          <t>SUMINISTRO</t>
        </is>
      </c>
      <c r="F96" s="110" t="inlineStr">
        <is>
          <t>UND</t>
        </is>
      </c>
      <c r="G96" s="110" t="n">
        <v>9</v>
      </c>
      <c r="H96" s="160" t="n">
        <v>60000000</v>
      </c>
      <c r="I96" s="161">
        <f>Tabla2[[#This Row],[VU (COP)]]*Tabla2[[#This Row],[CANTIDAD]]</f>
        <v/>
      </c>
      <c r="J96" s="161">
        <f>Tabla2[[#This Row],[TOTAL (COP)]]/$M$1</f>
        <v/>
      </c>
    </row>
    <row r="97" ht="15.75" customHeight="1">
      <c r="A97" s="116" t="inlineStr">
        <is>
          <t>4. PASOS A NIVEL</t>
        </is>
      </c>
      <c r="B97" s="107" t="inlineStr">
        <is>
          <t>4.1</t>
        </is>
      </c>
      <c r="C97" s="107" t="inlineStr">
        <is>
          <t>4.1.104</t>
        </is>
      </c>
      <c r="D97" s="108" t="inlineStr">
        <is>
          <t>Sistemas emergencia SIL-3 vital (FRA Part 236 Subpart I)</t>
        </is>
      </c>
      <c r="E97" s="107" t="inlineStr">
        <is>
          <t>SUMINISTRO</t>
        </is>
      </c>
      <c r="F97" s="107" t="inlineStr">
        <is>
          <t>UND</t>
        </is>
      </c>
      <c r="G97" s="107" t="n">
        <v>9</v>
      </c>
      <c r="H97" s="161" t="n">
        <v>40000000</v>
      </c>
      <c r="I97" s="161">
        <f>Tabla2[[#This Row],[VU (COP)]]*Tabla2[[#This Row],[CANTIDAD]]</f>
        <v/>
      </c>
      <c r="J97" s="161">
        <f>Tabla2[[#This Row],[TOTAL (COP)]]/$M$1</f>
        <v/>
      </c>
    </row>
    <row r="98" ht="15.75" customHeight="1">
      <c r="A98" s="117" t="inlineStr">
        <is>
          <t>4. PASOS A NIVEL</t>
        </is>
      </c>
      <c r="B98" s="110" t="inlineStr">
        <is>
          <t>4.1</t>
        </is>
      </c>
      <c r="C98" s="110" t="inlineStr">
        <is>
          <t>4.1.105</t>
        </is>
      </c>
      <c r="D98" s="111" t="inlineStr">
        <is>
          <t>Instalación y configuración</t>
        </is>
      </c>
      <c r="E98" s="110" t="inlineStr">
        <is>
          <t>SERVICIO</t>
        </is>
      </c>
      <c r="F98" s="110" t="inlineStr">
        <is>
          <t>UND</t>
        </is>
      </c>
      <c r="G98" s="110" t="n">
        <v>9</v>
      </c>
      <c r="H98" s="160" t="n">
        <v>200000000</v>
      </c>
      <c r="I98" s="161">
        <f>Tabla2[[#This Row],[VU (COP)]]*Tabla2[[#This Row],[CANTIDAD]]</f>
        <v/>
      </c>
      <c r="J98" s="161">
        <f>Tabla2[[#This Row],[TOTAL (COP)]]/$M$1</f>
        <v/>
      </c>
    </row>
    <row r="99" ht="15.75" customHeight="1">
      <c r="A99" s="116" t="inlineStr">
        <is>
          <t>4. PASOS A NIVEL</t>
        </is>
      </c>
      <c r="B99" s="107" t="inlineStr">
        <is>
          <t>4.1</t>
        </is>
      </c>
      <c r="C99" s="107" t="inlineStr">
        <is>
          <t>4.1.106</t>
        </is>
      </c>
      <c r="D99" s="108" t="inlineStr">
        <is>
          <t>Repuestos (10%)</t>
        </is>
      </c>
      <c r="E99" s="107" t="inlineStr">
        <is>
          <t>SUMINISTRO</t>
        </is>
      </c>
      <c r="F99" s="107" t="inlineStr">
        <is>
          <t>UND</t>
        </is>
      </c>
      <c r="G99" s="107" t="n">
        <v>1</v>
      </c>
      <c r="H99" s="161" t="n">
        <v>828000000</v>
      </c>
      <c r="I99" s="161">
        <f>Tabla2[[#This Row],[VU (COP)]]*Tabla2[[#This Row],[CANTIDAD]]</f>
        <v/>
      </c>
      <c r="J99" s="161">
        <f>Tabla2[[#This Row],[TOTAL (COP)]]/$M$1</f>
        <v/>
      </c>
    </row>
    <row r="100" ht="30" customHeight="1">
      <c r="A100" s="117" t="inlineStr">
        <is>
          <t>4. PASOS A NIVEL</t>
        </is>
      </c>
      <c r="B100" s="110" t="inlineStr">
        <is>
          <t>4.2</t>
        </is>
      </c>
      <c r="C100" s="110" t="inlineStr">
        <is>
          <t>4.2.100</t>
        </is>
      </c>
      <c r="D100" s="111" t="inlineStr">
        <is>
          <t>Señales Luminosas y Acústicas (SLA) — PaN Tipo B (BCD §8.2.1, NTC 4741:1999). VU pendiente RFQ COL.</t>
        </is>
      </c>
      <c r="E100" s="110" t="inlineStr">
        <is>
          <t>SUMINISTRO</t>
        </is>
      </c>
      <c r="F100" s="110" t="inlineStr">
        <is>
          <t>UND</t>
        </is>
      </c>
      <c r="G100" s="110" t="n">
        <v>15</v>
      </c>
      <c r="H100" s="160" t="n">
        <v>120000000</v>
      </c>
      <c r="I100" s="161">
        <f>Tabla2[[#This Row],[VU (COP)]]*Tabla2[[#This Row],[CANTIDAD]]</f>
        <v/>
      </c>
      <c r="J100" s="161">
        <f>Tabla2[[#This Row],[TOTAL (COP)]]/$M$1</f>
        <v/>
      </c>
    </row>
    <row r="101" ht="15.75" customHeight="1">
      <c r="A101" s="116" t="inlineStr">
        <is>
          <t>4. PASOS A NIVEL</t>
        </is>
      </c>
      <c r="B101" s="107" t="inlineStr">
        <is>
          <t>4.2</t>
        </is>
      </c>
      <c r="C101" s="107" t="inlineStr">
        <is>
          <t>4.2.101</t>
        </is>
      </c>
      <c r="D101" s="108" t="inlineStr">
        <is>
          <t>Senalización basica (Res. 20243040045005)</t>
        </is>
      </c>
      <c r="E101" s="107" t="inlineStr">
        <is>
          <t>SUMINISTRO</t>
        </is>
      </c>
      <c r="F101" s="107" t="inlineStr">
        <is>
          <t>UND</t>
        </is>
      </c>
      <c r="G101" s="107" t="n">
        <v>15</v>
      </c>
      <c r="H101" s="161" t="n">
        <v>50000000</v>
      </c>
      <c r="I101" s="161">
        <f>Tabla2[[#This Row],[VU (COP)]]*Tabla2[[#This Row],[CANTIDAD]]</f>
        <v/>
      </c>
      <c r="J101" s="161">
        <f>Tabla2[[#This Row],[TOTAL (COP)]]/$M$1</f>
        <v/>
      </c>
    </row>
    <row r="102" ht="15.75" customHeight="1">
      <c r="A102" s="117" t="inlineStr">
        <is>
          <t>4. PASOS A NIVEL</t>
        </is>
      </c>
      <c r="B102" s="110" t="inlineStr">
        <is>
          <t>4.2</t>
        </is>
      </c>
      <c r="C102" s="110" t="inlineStr">
        <is>
          <t>4.2.102</t>
        </is>
      </c>
      <c r="D102" s="111" t="inlineStr">
        <is>
          <t>Sistemas detección</t>
        </is>
      </c>
      <c r="E102" s="110" t="inlineStr">
        <is>
          <t>SUMINISTRO</t>
        </is>
      </c>
      <c r="F102" s="110" t="inlineStr">
        <is>
          <t>UND</t>
        </is>
      </c>
      <c r="G102" s="110" t="n">
        <v>15</v>
      </c>
      <c r="H102" s="160" t="n">
        <v>80000000</v>
      </c>
      <c r="I102" s="161">
        <f>Tabla2[[#This Row],[VU (COP)]]*Tabla2[[#This Row],[CANTIDAD]]</f>
        <v/>
      </c>
      <c r="J102" s="161">
        <f>Tabla2[[#This Row],[TOTAL (COP)]]/$M$1</f>
        <v/>
      </c>
    </row>
    <row r="103" ht="15.75" customHeight="1">
      <c r="A103" s="116" t="inlineStr">
        <is>
          <t>4. PASOS A NIVEL</t>
        </is>
      </c>
      <c r="B103" s="107" t="inlineStr">
        <is>
          <t>4.2</t>
        </is>
      </c>
      <c r="C103" s="107" t="inlineStr">
        <is>
          <t>4.2.103</t>
        </is>
      </c>
      <c r="D103" s="108" t="inlineStr">
        <is>
          <t>Sistemas comunicación</t>
        </is>
      </c>
      <c r="E103" s="107" t="inlineStr">
        <is>
          <t>SUMINISTRO</t>
        </is>
      </c>
      <c r="F103" s="107" t="inlineStr">
        <is>
          <t>UND</t>
        </is>
      </c>
      <c r="G103" s="107" t="n">
        <v>15</v>
      </c>
      <c r="H103" s="161" t="n">
        <v>40000000</v>
      </c>
      <c r="I103" s="161">
        <f>Tabla2[[#This Row],[VU (COP)]]*Tabla2[[#This Row],[CANTIDAD]]</f>
        <v/>
      </c>
      <c r="J103" s="161">
        <f>Tabla2[[#This Row],[TOTAL (COP)]]/$M$1</f>
        <v/>
      </c>
    </row>
    <row r="104" ht="15.75" customHeight="1">
      <c r="A104" s="117" t="inlineStr">
        <is>
          <t>4. PASOS A NIVEL</t>
        </is>
      </c>
      <c r="B104" s="110" t="inlineStr">
        <is>
          <t>4.2</t>
        </is>
      </c>
      <c r="C104" s="110" t="inlineStr">
        <is>
          <t>4.2.104</t>
        </is>
      </c>
      <c r="D104" s="111" t="inlineStr">
        <is>
          <t>Instalación</t>
        </is>
      </c>
      <c r="E104" s="110" t="inlineStr">
        <is>
          <t>SUMINISTRO</t>
        </is>
      </c>
      <c r="F104" s="110" t="inlineStr">
        <is>
          <t>UND</t>
        </is>
      </c>
      <c r="G104" s="110" t="n">
        <v>15</v>
      </c>
      <c r="H104" s="160" t="n">
        <v>60000000</v>
      </c>
      <c r="I104" s="161">
        <f>Tabla2[[#This Row],[VU (COP)]]*Tabla2[[#This Row],[CANTIDAD]]</f>
        <v/>
      </c>
      <c r="J104" s="161">
        <f>Tabla2[[#This Row],[TOTAL (COP)]]/$M$1</f>
        <v/>
      </c>
    </row>
    <row r="105" ht="15.75" customHeight="1">
      <c r="A105" s="116" t="inlineStr">
        <is>
          <t>4. PASOS A NIVEL</t>
        </is>
      </c>
      <c r="B105" s="107" t="inlineStr">
        <is>
          <t>4.2</t>
        </is>
      </c>
      <c r="C105" s="107" t="inlineStr">
        <is>
          <t>4.2.105</t>
        </is>
      </c>
      <c r="D105" s="108" t="inlineStr">
        <is>
          <t>Repuestos (10%)</t>
        </is>
      </c>
      <c r="E105" s="107" t="inlineStr">
        <is>
          <t>SUMINISTRO</t>
        </is>
      </c>
      <c r="F105" s="107" t="inlineStr">
        <is>
          <t>UND</t>
        </is>
      </c>
      <c r="G105" s="107" t="n">
        <v>1</v>
      </c>
      <c r="H105" s="161" t="n">
        <v>525000000</v>
      </c>
      <c r="I105" s="161">
        <f>Tabla2[[#This Row],[VU (COP)]]*Tabla2[[#This Row],[CANTIDAD]]</f>
        <v/>
      </c>
      <c r="J105" s="161">
        <f>Tabla2[[#This Row],[TOTAL (COP)]]/$M$1</f>
        <v/>
      </c>
    </row>
    <row r="106" ht="15.75" customHeight="1">
      <c r="A106" s="117" t="inlineStr">
        <is>
          <t>4. PASOS A NIVEL</t>
        </is>
      </c>
      <c r="B106" s="110" t="inlineStr">
        <is>
          <t>4.3</t>
        </is>
      </c>
      <c r="C106" s="110" t="inlineStr">
        <is>
          <t>4.3.100</t>
        </is>
      </c>
      <c r="D106" s="111" t="inlineStr">
        <is>
          <t>Senalización basica (Manual 2024 / Res. 20243040045005)</t>
        </is>
      </c>
      <c r="E106" s="110" t="inlineStr">
        <is>
          <t>SUMINISTRO</t>
        </is>
      </c>
      <c r="F106" s="110" t="inlineStr">
        <is>
          <t>UND</t>
        </is>
      </c>
      <c r="G106" s="110" t="n">
        <v>122</v>
      </c>
      <c r="H106" s="160" t="n">
        <v>25000000</v>
      </c>
      <c r="I106" s="161">
        <f>Tabla2[[#This Row],[VU (COP)]]*Tabla2[[#This Row],[CANTIDAD]]</f>
        <v/>
      </c>
      <c r="J106" s="161">
        <f>Tabla2[[#This Row],[TOTAL (COP)]]/$M$1</f>
        <v/>
      </c>
    </row>
    <row r="107" ht="15.75" customHeight="1">
      <c r="A107" s="116" t="inlineStr">
        <is>
          <t>4. PASOS A NIVEL</t>
        </is>
      </c>
      <c r="B107" s="107" t="inlineStr">
        <is>
          <t>4.3</t>
        </is>
      </c>
      <c r="C107" s="107" t="inlineStr">
        <is>
          <t>4.3.103</t>
        </is>
      </c>
      <c r="D107" s="108" t="inlineStr">
        <is>
          <t>Repuestos (10%)</t>
        </is>
      </c>
      <c r="E107" s="107" t="inlineStr">
        <is>
          <t>SUMINISTRO</t>
        </is>
      </c>
      <c r="F107" s="107" t="inlineStr">
        <is>
          <t>UND</t>
        </is>
      </c>
      <c r="G107" s="107" t="n">
        <v>1</v>
      </c>
      <c r="H107" s="161" t="n">
        <v>305000000</v>
      </c>
      <c r="I107" s="161">
        <f>Tabla2[[#This Row],[VU (COP)]]*Tabla2[[#This Row],[CANTIDAD]]</f>
        <v/>
      </c>
      <c r="J107" s="161">
        <f>Tabla2[[#This Row],[TOTAL (COP)]]/$M$1</f>
        <v/>
      </c>
    </row>
    <row r="108" ht="15.75" customHeight="1">
      <c r="A108" s="117" t="inlineStr">
        <is>
          <t>5. CENTRO DE CONTROL OPERACIONAL</t>
        </is>
      </c>
      <c r="B108" s="110" t="inlineStr">
        <is>
          <t>5.1</t>
        </is>
      </c>
      <c r="C108" s="110" t="inlineStr">
        <is>
          <t>5.1.100</t>
        </is>
      </c>
      <c r="D108" s="111" t="inlineStr">
        <is>
          <t>Construcción edificio</t>
        </is>
      </c>
      <c r="E108" s="110" t="inlineStr">
        <is>
          <t>SUMINISTRO</t>
        </is>
      </c>
      <c r="F108" s="110" t="inlineStr">
        <is>
          <t>UND</t>
        </is>
      </c>
      <c r="G108" s="110" t="n">
        <v>1</v>
      </c>
      <c r="H108" s="160" t="n">
        <v>2500000000</v>
      </c>
      <c r="I108" s="161">
        <f>Tabla2[[#This Row],[VU (COP)]]*Tabla2[[#This Row],[CANTIDAD]]</f>
        <v/>
      </c>
      <c r="J108" s="161">
        <f>Tabla2[[#This Row],[TOTAL (COP)]]/$M$1</f>
        <v/>
      </c>
    </row>
    <row r="109" ht="15.75" customHeight="1">
      <c r="A109" s="116" t="inlineStr">
        <is>
          <t>5. CENTRO DE CONTROL OPERACIONAL</t>
        </is>
      </c>
      <c r="B109" s="107" t="inlineStr">
        <is>
          <t>5.1</t>
        </is>
      </c>
      <c r="C109" s="107" t="inlineStr">
        <is>
          <t>5.1.101</t>
        </is>
      </c>
      <c r="D109" s="108" t="inlineStr">
        <is>
          <t>Sala de control</t>
        </is>
      </c>
      <c r="E109" s="107" t="inlineStr">
        <is>
          <t>SUMINISTRO</t>
        </is>
      </c>
      <c r="F109" s="107" t="inlineStr">
        <is>
          <t>UND</t>
        </is>
      </c>
      <c r="G109" s="107" t="n">
        <v>1</v>
      </c>
      <c r="H109" s="161" t="n">
        <v>800000000</v>
      </c>
      <c r="I109" s="161">
        <f>Tabla2[[#This Row],[VU (COP)]]*Tabla2[[#This Row],[CANTIDAD]]</f>
        <v/>
      </c>
      <c r="J109" s="161">
        <f>Tabla2[[#This Row],[TOTAL (COP)]]/$M$1</f>
        <v/>
      </c>
    </row>
    <row r="110" ht="15.75" customHeight="1">
      <c r="A110" s="117" t="inlineStr">
        <is>
          <t>5. CENTRO DE CONTROL OPERACIONAL</t>
        </is>
      </c>
      <c r="B110" s="110" t="inlineStr">
        <is>
          <t>5.1</t>
        </is>
      </c>
      <c r="C110" s="110" t="inlineStr">
        <is>
          <t>5.1.102</t>
        </is>
      </c>
      <c r="D110" s="111" t="inlineStr">
        <is>
          <t>Sistemas HVAC</t>
        </is>
      </c>
      <c r="E110" s="110" t="inlineStr">
        <is>
          <t>SUMINISTRO</t>
        </is>
      </c>
      <c r="F110" s="110" t="inlineStr">
        <is>
          <t>UND</t>
        </is>
      </c>
      <c r="G110" s="110" t="n">
        <v>1</v>
      </c>
      <c r="H110" s="160" t="n">
        <v>300000000</v>
      </c>
      <c r="I110" s="161">
        <f>Tabla2[[#This Row],[VU (COP)]]*Tabla2[[#This Row],[CANTIDAD]]</f>
        <v/>
      </c>
      <c r="J110" s="161">
        <f>Tabla2[[#This Row],[TOTAL (COP)]]/$M$1</f>
        <v/>
      </c>
    </row>
    <row r="111" ht="15.75" customHeight="1">
      <c r="A111" s="116" t="inlineStr">
        <is>
          <t>5. CENTRO DE CONTROL OPERACIONAL</t>
        </is>
      </c>
      <c r="B111" s="107" t="inlineStr">
        <is>
          <t>5.1</t>
        </is>
      </c>
      <c r="C111" s="107" t="inlineStr">
        <is>
          <t>5.1.103</t>
        </is>
      </c>
      <c r="D111" s="108" t="inlineStr">
        <is>
          <t>Sistemas eléctricos</t>
        </is>
      </c>
      <c r="E111" s="107" t="inlineStr">
        <is>
          <t>SUMINISTRO</t>
        </is>
      </c>
      <c r="F111" s="107" t="inlineStr">
        <is>
          <t>UND</t>
        </is>
      </c>
      <c r="G111" s="107" t="n">
        <v>1</v>
      </c>
      <c r="H111" s="161" t="n">
        <v>400000000</v>
      </c>
      <c r="I111" s="161">
        <f>Tabla2[[#This Row],[VU (COP)]]*Tabla2[[#This Row],[CANTIDAD]]</f>
        <v/>
      </c>
      <c r="J111" s="161">
        <f>Tabla2[[#This Row],[TOTAL (COP)]]/$M$1</f>
        <v/>
      </c>
    </row>
    <row r="112" ht="15.75" customHeight="1">
      <c r="A112" s="117" t="inlineStr">
        <is>
          <t>5. CENTRO DE CONTROL OPERACIONAL</t>
        </is>
      </c>
      <c r="B112" s="110" t="inlineStr">
        <is>
          <t>5.1</t>
        </is>
      </c>
      <c r="C112" s="110" t="inlineStr">
        <is>
          <t>5.1.104</t>
        </is>
      </c>
      <c r="D112" s="111" t="inlineStr">
        <is>
          <t>Sistemas seguridad</t>
        </is>
      </c>
      <c r="E112" s="110" t="inlineStr">
        <is>
          <t>SUMINISTRO</t>
        </is>
      </c>
      <c r="F112" s="110" t="inlineStr">
        <is>
          <t>UND</t>
        </is>
      </c>
      <c r="G112" s="110" t="n">
        <v>1</v>
      </c>
      <c r="H112" s="160" t="n">
        <v>200000000</v>
      </c>
      <c r="I112" s="161">
        <f>Tabla2[[#This Row],[VU (COP)]]*Tabla2[[#This Row],[CANTIDAD]]</f>
        <v/>
      </c>
      <c r="J112" s="161">
        <f>Tabla2[[#This Row],[TOTAL (COP)]]/$M$1</f>
        <v/>
      </c>
    </row>
    <row r="113" ht="15.75" customHeight="1">
      <c r="A113" s="116" t="inlineStr">
        <is>
          <t>5. CENTRO DE CONTROL OPERACIONAL</t>
        </is>
      </c>
      <c r="B113" s="107" t="inlineStr">
        <is>
          <t>5.1</t>
        </is>
      </c>
      <c r="C113" s="107" t="inlineStr">
        <is>
          <t>5.1.105</t>
        </is>
      </c>
      <c r="D113" s="108" t="inlineStr">
        <is>
          <t>Sistemas comunicaciones</t>
        </is>
      </c>
      <c r="E113" s="107" t="inlineStr">
        <is>
          <t>SUMINISTRO</t>
        </is>
      </c>
      <c r="F113" s="107" t="inlineStr">
        <is>
          <t>UND</t>
        </is>
      </c>
      <c r="G113" s="107" t="n">
        <v>1</v>
      </c>
      <c r="H113" s="161" t="n">
        <v>150000000</v>
      </c>
      <c r="I113" s="161">
        <f>Tabla2[[#This Row],[VU (COP)]]*Tabla2[[#This Row],[CANTIDAD]]</f>
        <v/>
      </c>
      <c r="J113" s="161">
        <f>Tabla2[[#This Row],[TOTAL (COP)]]/$M$1</f>
        <v/>
      </c>
    </row>
    <row r="114" ht="15.75" customHeight="1">
      <c r="A114" s="117" t="inlineStr">
        <is>
          <t>5. CENTRO DE CONTROL OPERACIONAL</t>
        </is>
      </c>
      <c r="B114" s="110" t="inlineStr">
        <is>
          <t>5.2</t>
        </is>
      </c>
      <c r="C114" s="110" t="inlineStr">
        <is>
          <t>5.2.100</t>
        </is>
      </c>
      <c r="D114" s="111" t="inlineStr">
        <is>
          <t>Consolas operadores</t>
        </is>
      </c>
      <c r="E114" s="110" t="inlineStr">
        <is>
          <t>SUMINISTRO</t>
        </is>
      </c>
      <c r="F114" s="110" t="inlineStr">
        <is>
          <t>UND</t>
        </is>
      </c>
      <c r="G114" s="110" t="n">
        <v>8</v>
      </c>
      <c r="H114" s="160" t="n">
        <v>120000000</v>
      </c>
      <c r="I114" s="161">
        <f>Tabla2[[#This Row],[VU (COP)]]*Tabla2[[#This Row],[CANTIDAD]]</f>
        <v/>
      </c>
      <c r="J114" s="161">
        <f>Tabla2[[#This Row],[TOTAL (COP)]]/$M$1</f>
        <v/>
      </c>
    </row>
    <row r="115" ht="15.75" customHeight="1">
      <c r="A115" s="116" t="inlineStr">
        <is>
          <t>5. CENTRO DE CONTROL OPERACIONAL</t>
        </is>
      </c>
      <c r="B115" s="107" t="inlineStr">
        <is>
          <t>5.2</t>
        </is>
      </c>
      <c r="C115" s="107" t="inlineStr">
        <is>
          <t>5.2.101</t>
        </is>
      </c>
      <c r="D115" s="108" t="inlineStr">
        <is>
          <t>Pantallas de video</t>
        </is>
      </c>
      <c r="E115" s="107" t="inlineStr">
        <is>
          <t>SUMINISTRO</t>
        </is>
      </c>
      <c r="F115" s="107" t="inlineStr">
        <is>
          <t>UND</t>
        </is>
      </c>
      <c r="G115" s="107" t="n">
        <v>16</v>
      </c>
      <c r="H115" s="161" t="n">
        <v>25000000</v>
      </c>
      <c r="I115" s="161">
        <f>Tabla2[[#This Row],[VU (COP)]]*Tabla2[[#This Row],[CANTIDAD]]</f>
        <v/>
      </c>
      <c r="J115" s="161">
        <f>Tabla2[[#This Row],[TOTAL (COP)]]/$M$1</f>
        <v/>
      </c>
    </row>
    <row r="116" ht="15.75" customHeight="1">
      <c r="A116" s="117" t="inlineStr">
        <is>
          <t>5. CENTRO DE CONTROL OPERACIONAL</t>
        </is>
      </c>
      <c r="B116" s="110" t="inlineStr">
        <is>
          <t>5.2</t>
        </is>
      </c>
      <c r="C116" s="110" t="inlineStr">
        <is>
          <t>5.2.102</t>
        </is>
      </c>
      <c r="D116" s="111" t="inlineStr">
        <is>
          <t>Sistema audio</t>
        </is>
      </c>
      <c r="E116" s="110" t="inlineStr">
        <is>
          <t>SUMINISTRO</t>
        </is>
      </c>
      <c r="F116" s="110" t="inlineStr">
        <is>
          <t>UND</t>
        </is>
      </c>
      <c r="G116" s="110" t="n">
        <v>1</v>
      </c>
      <c r="H116" s="160" t="n">
        <v>80000000</v>
      </c>
      <c r="I116" s="161">
        <f>Tabla2[[#This Row],[VU (COP)]]*Tabla2[[#This Row],[CANTIDAD]]</f>
        <v/>
      </c>
      <c r="J116" s="161">
        <f>Tabla2[[#This Row],[TOTAL (COP)]]/$M$1</f>
        <v/>
      </c>
    </row>
    <row r="117" ht="15.75" customHeight="1">
      <c r="A117" s="116" t="inlineStr">
        <is>
          <t>5. CENTRO DE CONTROL OPERACIONAL</t>
        </is>
      </c>
      <c r="B117" s="107" t="inlineStr">
        <is>
          <t>5.2</t>
        </is>
      </c>
      <c r="C117" s="107" t="inlineStr">
        <is>
          <t>5.2.103</t>
        </is>
      </c>
      <c r="D117" s="108" t="inlineStr">
        <is>
          <t>Sistema iluminación</t>
        </is>
      </c>
      <c r="E117" s="107" t="inlineStr">
        <is>
          <t>SUMINISTRO</t>
        </is>
      </c>
      <c r="F117" s="107" t="inlineStr">
        <is>
          <t>UND</t>
        </is>
      </c>
      <c r="G117" s="107" t="n">
        <v>1</v>
      </c>
      <c r="H117" s="161" t="n">
        <v>60000000</v>
      </c>
      <c r="I117" s="161">
        <f>Tabla2[[#This Row],[VU (COP)]]*Tabla2[[#This Row],[CANTIDAD]]</f>
        <v/>
      </c>
      <c r="J117" s="161">
        <f>Tabla2[[#This Row],[TOTAL (COP)]]/$M$1</f>
        <v/>
      </c>
    </row>
    <row r="118" ht="15.75" customHeight="1">
      <c r="A118" s="117" t="inlineStr">
        <is>
          <t>5. CENTRO DE CONTROL OPERACIONAL</t>
        </is>
      </c>
      <c r="B118" s="110" t="inlineStr">
        <is>
          <t>5.2</t>
        </is>
      </c>
      <c r="C118" s="110" t="inlineStr">
        <is>
          <t>5.2.104</t>
        </is>
      </c>
      <c r="D118" s="111" t="inlineStr">
        <is>
          <t>Muebles y accesorios</t>
        </is>
      </c>
      <c r="E118" s="110" t="inlineStr">
        <is>
          <t>SUMINISTRO</t>
        </is>
      </c>
      <c r="F118" s="110" t="inlineStr">
        <is>
          <t>UND</t>
        </is>
      </c>
      <c r="G118" s="110" t="n">
        <v>1</v>
      </c>
      <c r="H118" s="160" t="n">
        <v>100000000</v>
      </c>
      <c r="I118" s="161">
        <f>Tabla2[[#This Row],[VU (COP)]]*Tabla2[[#This Row],[CANTIDAD]]</f>
        <v/>
      </c>
      <c r="J118" s="161">
        <f>Tabla2[[#This Row],[TOTAL (COP)]]/$M$1</f>
        <v/>
      </c>
    </row>
    <row r="119" ht="15.75" customHeight="1">
      <c r="A119" s="116" t="inlineStr">
        <is>
          <t>5. CENTRO DE CONTROL OPERACIONAL</t>
        </is>
      </c>
      <c r="B119" s="107" t="inlineStr">
        <is>
          <t>5.3</t>
        </is>
      </c>
      <c r="C119" s="107" t="inlineStr">
        <is>
          <t>5.3.100</t>
        </is>
      </c>
      <c r="D119" s="108" t="inlineStr">
        <is>
          <t>Servidores SCADA</t>
        </is>
      </c>
      <c r="E119" s="107" t="inlineStr">
        <is>
          <t>SUMINISTRO</t>
        </is>
      </c>
      <c r="F119" s="107" t="inlineStr">
        <is>
          <t>UND</t>
        </is>
      </c>
      <c r="G119" s="107" t="n">
        <v>2</v>
      </c>
      <c r="H119" s="161" t="n">
        <v>400000000</v>
      </c>
      <c r="I119" s="161">
        <f>Tabla2[[#This Row],[VU (COP)]]*Tabla2[[#This Row],[CANTIDAD]]</f>
        <v/>
      </c>
      <c r="J119" s="161">
        <f>Tabla2[[#This Row],[TOTAL (COP)]]/$M$1</f>
        <v/>
      </c>
    </row>
    <row r="120" ht="15.75" customHeight="1">
      <c r="A120" s="117" t="inlineStr">
        <is>
          <t>5. CENTRO DE CONTROL OPERACIONAL</t>
        </is>
      </c>
      <c r="B120" s="110" t="inlineStr">
        <is>
          <t>5.3</t>
        </is>
      </c>
      <c r="C120" s="110" t="inlineStr">
        <is>
          <t>5.3.101</t>
        </is>
      </c>
      <c r="D120" s="111" t="inlineStr">
        <is>
          <t>Software SCADA</t>
        </is>
      </c>
      <c r="E120" s="110" t="inlineStr">
        <is>
          <t>SUMINISTRO</t>
        </is>
      </c>
      <c r="F120" s="110" t="inlineStr">
        <is>
          <t>UND</t>
        </is>
      </c>
      <c r="G120" s="110" t="n">
        <v>1</v>
      </c>
      <c r="H120" s="160" t="n">
        <v>5000000000</v>
      </c>
      <c r="I120" s="161">
        <f>Tabla2[[#This Row],[VU (COP)]]*Tabla2[[#This Row],[CANTIDAD]]</f>
        <v/>
      </c>
      <c r="J120" s="161">
        <f>Tabla2[[#This Row],[TOTAL (COP)]]/$M$1</f>
        <v/>
      </c>
    </row>
    <row r="121" ht="15.75" customHeight="1">
      <c r="A121" s="116" t="inlineStr">
        <is>
          <t>5. CENTRO DE CONTROL OPERACIONAL</t>
        </is>
      </c>
      <c r="B121" s="107" t="inlineStr">
        <is>
          <t>5.3</t>
        </is>
      </c>
      <c r="C121" s="107" t="inlineStr">
        <is>
          <t>5.3.102</t>
        </is>
      </c>
      <c r="D121" s="108" t="inlineStr">
        <is>
          <t>Base de datos</t>
        </is>
      </c>
      <c r="E121" s="107" t="inlineStr">
        <is>
          <t>SUMINISTRO</t>
        </is>
      </c>
      <c r="F121" s="107" t="inlineStr">
        <is>
          <t>UND</t>
        </is>
      </c>
      <c r="G121" s="107" t="n">
        <v>1</v>
      </c>
      <c r="H121" s="161" t="n">
        <v>150000000</v>
      </c>
      <c r="I121" s="161">
        <f>Tabla2[[#This Row],[VU (COP)]]*Tabla2[[#This Row],[CANTIDAD]]</f>
        <v/>
      </c>
      <c r="J121" s="161">
        <f>Tabla2[[#This Row],[TOTAL (COP)]]/$M$1</f>
        <v/>
      </c>
    </row>
    <row r="122" ht="15.75" customHeight="1">
      <c r="A122" s="117" t="inlineStr">
        <is>
          <t>5. CENTRO DE CONTROL OPERACIONAL</t>
        </is>
      </c>
      <c r="B122" s="110" t="inlineStr">
        <is>
          <t>5.3</t>
        </is>
      </c>
      <c r="C122" s="110" t="inlineStr">
        <is>
          <t>5.3.103</t>
        </is>
      </c>
      <c r="D122" s="111" t="inlineStr">
        <is>
          <t>Interfaces comunicación</t>
        </is>
      </c>
      <c r="E122" s="110" t="inlineStr">
        <is>
          <t>SUMINISTRO</t>
        </is>
      </c>
      <c r="F122" s="110" t="inlineStr">
        <is>
          <t>UND</t>
        </is>
      </c>
      <c r="G122" s="110" t="n">
        <v>1</v>
      </c>
      <c r="H122" s="160" t="n">
        <v>4112000000</v>
      </c>
      <c r="I122" s="161">
        <f>Tabla2[[#This Row],[VU (COP)]]*Tabla2[[#This Row],[CANTIDAD]]</f>
        <v/>
      </c>
      <c r="J122" s="161">
        <f>Tabla2[[#This Row],[TOTAL (COP)]]/$M$1</f>
        <v/>
      </c>
    </row>
    <row r="123" ht="15.75" customHeight="1">
      <c r="A123" s="116" t="inlineStr">
        <is>
          <t>5. CENTRO DE CONTROL OPERACIONAL</t>
        </is>
      </c>
      <c r="B123" s="107" t="inlineStr">
        <is>
          <t>5.3</t>
        </is>
      </c>
      <c r="C123" s="107" t="inlineStr">
        <is>
          <t>5.3.104</t>
        </is>
      </c>
      <c r="D123" s="108" t="inlineStr">
        <is>
          <t>Sistema redundancia</t>
        </is>
      </c>
      <c r="E123" s="107" t="inlineStr">
        <is>
          <t>SUMINISTRO</t>
        </is>
      </c>
      <c r="F123" s="107" t="inlineStr">
        <is>
          <t>UND</t>
        </is>
      </c>
      <c r="G123" s="107" t="n">
        <v>1</v>
      </c>
      <c r="H123" s="161" t="n">
        <v>300000000</v>
      </c>
      <c r="I123" s="161">
        <f>Tabla2[[#This Row],[VU (COP)]]*Tabla2[[#This Row],[CANTIDAD]]</f>
        <v/>
      </c>
      <c r="J123" s="161">
        <f>Tabla2[[#This Row],[TOTAL (COP)]]/$M$1</f>
        <v/>
      </c>
    </row>
    <row r="124" ht="15.75" customHeight="1">
      <c r="A124" s="117" t="inlineStr">
        <is>
          <t>5. CENTRO DE CONTROL OPERACIONAL</t>
        </is>
      </c>
      <c r="B124" s="110" t="inlineStr">
        <is>
          <t>5.3</t>
        </is>
      </c>
      <c r="C124" s="110" t="inlineStr">
        <is>
          <t>5.3.105</t>
        </is>
      </c>
      <c r="D124" s="111" t="inlineStr">
        <is>
          <t>Configuración</t>
        </is>
      </c>
      <c r="E124" s="110" t="inlineStr">
        <is>
          <t>SERVICIO</t>
        </is>
      </c>
      <c r="F124" s="110" t="inlineStr">
        <is>
          <t>UND</t>
        </is>
      </c>
      <c r="G124" s="110" t="n">
        <v>1</v>
      </c>
      <c r="H124" s="160" t="n">
        <v>100000000</v>
      </c>
      <c r="I124" s="161">
        <f>Tabla2[[#This Row],[VU (COP)]]*Tabla2[[#This Row],[CANTIDAD]]</f>
        <v/>
      </c>
      <c r="J124" s="161">
        <f>Tabla2[[#This Row],[TOTAL (COP)]]/$M$1</f>
        <v/>
      </c>
    </row>
    <row r="125" ht="15.75" customHeight="1">
      <c r="A125" s="116" t="inlineStr">
        <is>
          <t>6. MATERIAL RODANTE</t>
        </is>
      </c>
      <c r="B125" s="107" t="inlineStr">
        <is>
          <t>6.1</t>
        </is>
      </c>
      <c r="C125" s="107" t="inlineStr">
        <is>
          <t>6.1.100</t>
        </is>
      </c>
      <c r="D125" s="108" t="inlineStr">
        <is>
          <t>Sistemas PTC embarcados</t>
        </is>
      </c>
      <c r="E125" s="107" t="inlineStr">
        <is>
          <t>SUMINISTRO</t>
        </is>
      </c>
      <c r="F125" s="107" t="inlineStr">
        <is>
          <t>UND</t>
        </is>
      </c>
      <c r="G125" s="107" t="n">
        <v>15</v>
      </c>
      <c r="H125" s="161" t="n">
        <v>400000000</v>
      </c>
      <c r="I125" s="161">
        <f>Tabla2[[#This Row],[VU (COP)]]*Tabla2[[#This Row],[CANTIDAD]]</f>
        <v/>
      </c>
      <c r="J125" s="161">
        <f>Tabla2[[#This Row],[TOTAL (COP)]]/$M$1</f>
        <v/>
      </c>
    </row>
    <row r="126" ht="15.75" customHeight="1">
      <c r="A126" s="117" t="inlineStr">
        <is>
          <t>6. MATERIAL RODANTE</t>
        </is>
      </c>
      <c r="B126" s="110" t="inlineStr">
        <is>
          <t>6.1</t>
        </is>
      </c>
      <c r="C126" s="110" t="inlineStr">
        <is>
          <t>6.1.101</t>
        </is>
      </c>
      <c r="D126" s="111" t="inlineStr">
        <is>
          <t>Radios TETRA embarcados</t>
        </is>
      </c>
      <c r="E126" s="110" t="inlineStr">
        <is>
          <t>SUMINISTRO</t>
        </is>
      </c>
      <c r="F126" s="110" t="inlineStr">
        <is>
          <t>UND</t>
        </is>
      </c>
      <c r="G126" s="110" t="n">
        <v>30</v>
      </c>
      <c r="H126" s="160" t="n">
        <v>35000000</v>
      </c>
      <c r="I126" s="161">
        <f>Tabla2[[#This Row],[VU (COP)]]*Tabla2[[#This Row],[CANTIDAD]]</f>
        <v/>
      </c>
      <c r="J126" s="161">
        <f>Tabla2[[#This Row],[TOTAL (COP)]]/$M$1</f>
        <v/>
      </c>
    </row>
    <row r="127" ht="30" customHeight="1">
      <c r="A127" s="116" t="inlineStr">
        <is>
          <t>6. MATERIAL RODANTE</t>
        </is>
      </c>
      <c r="B127" s="107" t="inlineStr">
        <is>
          <t>6.1</t>
        </is>
      </c>
      <c r="C127" s="107" t="inlineStr">
        <is>
          <t>6.1.102</t>
        </is>
      </c>
      <c r="D127" s="108" t="inlineStr">
        <is>
          <t>Radios embarcados — red móvil broadband ferroviaria (complemento TETRA)</t>
        </is>
      </c>
      <c r="E127" s="107" t="inlineStr">
        <is>
          <t>SUMINISTRO</t>
        </is>
      </c>
      <c r="F127" s="107" t="inlineStr">
        <is>
          <t>UND</t>
        </is>
      </c>
      <c r="G127" s="107" t="n">
        <v>30</v>
      </c>
      <c r="H127" s="161" t="n">
        <v>25000000</v>
      </c>
      <c r="I127" s="161">
        <f>Tabla2[[#This Row],[VU (COP)]]*Tabla2[[#This Row],[CANTIDAD]]</f>
        <v/>
      </c>
      <c r="J127" s="161">
        <f>Tabla2[[#This Row],[TOTAL (COP)]]/$M$1</f>
        <v/>
      </c>
    </row>
    <row r="128" ht="15.75" customHeight="1">
      <c r="A128" s="117" t="inlineStr">
        <is>
          <t>6. MATERIAL RODANTE</t>
        </is>
      </c>
      <c r="B128" s="110" t="inlineStr">
        <is>
          <t>6.1</t>
        </is>
      </c>
      <c r="C128" s="110" t="inlineStr">
        <is>
          <t>6.1.103</t>
        </is>
      </c>
      <c r="D128" s="111" t="inlineStr">
        <is>
          <t>Sistemas GPS</t>
        </is>
      </c>
      <c r="E128" s="110" t="inlineStr">
        <is>
          <t>SUMINISTRO</t>
        </is>
      </c>
      <c r="F128" s="110" t="inlineStr">
        <is>
          <t>UND</t>
        </is>
      </c>
      <c r="G128" s="110" t="n">
        <v>15</v>
      </c>
      <c r="H128" s="160" t="n">
        <v>35000000</v>
      </c>
      <c r="I128" s="161">
        <f>Tabla2[[#This Row],[VU (COP)]]*Tabla2[[#This Row],[CANTIDAD]]</f>
        <v/>
      </c>
      <c r="J128" s="161">
        <f>Tabla2[[#This Row],[TOTAL (COP)]]/$M$1</f>
        <v/>
      </c>
    </row>
    <row r="129" ht="15.75" customHeight="1">
      <c r="A129" s="116" t="inlineStr">
        <is>
          <t>6. MATERIAL RODANTE</t>
        </is>
      </c>
      <c r="B129" s="107" t="inlineStr">
        <is>
          <t>6.1</t>
        </is>
      </c>
      <c r="C129" s="107" t="inlineStr">
        <is>
          <t>6.1.104</t>
        </is>
      </c>
      <c r="D129" s="108" t="inlineStr">
        <is>
          <t>Sistemas redundancia</t>
        </is>
      </c>
      <c r="E129" s="107" t="inlineStr">
        <is>
          <t>SUMINISTRO</t>
        </is>
      </c>
      <c r="F129" s="107" t="inlineStr">
        <is>
          <t>UND</t>
        </is>
      </c>
      <c r="G129" s="107" t="n">
        <v>15</v>
      </c>
      <c r="H129" s="161" t="n">
        <v>80000000</v>
      </c>
      <c r="I129" s="161">
        <f>Tabla2[[#This Row],[VU (COP)]]*Tabla2[[#This Row],[CANTIDAD]]</f>
        <v/>
      </c>
      <c r="J129" s="161">
        <f>Tabla2[[#This Row],[TOTAL (COP)]]/$M$1</f>
        <v/>
      </c>
    </row>
    <row r="130" ht="15.75" customHeight="1">
      <c r="A130" s="117" t="inlineStr">
        <is>
          <t>6. MATERIAL RODANTE</t>
        </is>
      </c>
      <c r="B130" s="110" t="inlineStr">
        <is>
          <t>6.1</t>
        </is>
      </c>
      <c r="C130" s="110" t="inlineStr">
        <is>
          <t>6.1.105</t>
        </is>
      </c>
      <c r="D130" s="111" t="inlineStr">
        <is>
          <t>Instalación y configuración</t>
        </is>
      </c>
      <c r="E130" s="110" t="inlineStr">
        <is>
          <t>SERVICIO</t>
        </is>
      </c>
      <c r="F130" s="110" t="inlineStr">
        <is>
          <t>UND</t>
        </is>
      </c>
      <c r="G130" s="110" t="n">
        <v>15</v>
      </c>
      <c r="H130" s="160" t="n">
        <v>100000000</v>
      </c>
      <c r="I130" s="161">
        <f>Tabla2[[#This Row],[VU (COP)]]*Tabla2[[#This Row],[CANTIDAD]]</f>
        <v/>
      </c>
      <c r="J130" s="161">
        <f>Tabla2[[#This Row],[TOTAL (COP)]]/$M$1</f>
        <v/>
      </c>
    </row>
    <row r="131" ht="15.75" customHeight="1">
      <c r="A131" s="116" t="inlineStr">
        <is>
          <t>6. MATERIAL RODANTE</t>
        </is>
      </c>
      <c r="B131" s="107" t="inlineStr">
        <is>
          <t>6.1</t>
        </is>
      </c>
      <c r="C131" s="107" t="inlineStr">
        <is>
          <t>6.1.106</t>
        </is>
      </c>
      <c r="D131" s="108" t="inlineStr">
        <is>
          <t>Repuestos (10%)</t>
        </is>
      </c>
      <c r="E131" s="107" t="inlineStr">
        <is>
          <t>SUMINISTRO</t>
        </is>
      </c>
      <c r="F131" s="107" t="inlineStr">
        <is>
          <t>UND</t>
        </is>
      </c>
      <c r="G131" s="107" t="n">
        <v>1</v>
      </c>
      <c r="H131" s="161" t="n">
        <v>1102500000</v>
      </c>
      <c r="I131" s="161">
        <f>Tabla2[[#This Row],[VU (COP)]]*Tabla2[[#This Row],[CANTIDAD]]</f>
        <v/>
      </c>
      <c r="J131" s="161">
        <f>Tabla2[[#This Row],[TOTAL (COP)]]/$M$1</f>
        <v/>
      </c>
    </row>
    <row r="132" ht="15.75" customHeight="1">
      <c r="A132" s="117" t="inlineStr">
        <is>
          <t>6. MATERIAL RODANTE</t>
        </is>
      </c>
      <c r="B132" s="110" t="inlineStr">
        <is>
          <t>6.2</t>
        </is>
      </c>
      <c r="C132" s="110" t="inlineStr">
        <is>
          <t>6.2.100</t>
        </is>
      </c>
      <c r="D132" s="111" t="inlineStr">
        <is>
          <t>Dispositivos EOT completos</t>
        </is>
      </c>
      <c r="E132" s="110" t="inlineStr">
        <is>
          <t>SUMINISTRO</t>
        </is>
      </c>
      <c r="F132" s="110" t="inlineStr">
        <is>
          <t>UND</t>
        </is>
      </c>
      <c r="G132" s="110" t="n">
        <v>15</v>
      </c>
      <c r="H132" s="160" t="n">
        <v>25000000</v>
      </c>
      <c r="I132" s="161">
        <f>Tabla2[[#This Row],[VU (COP)]]*Tabla2[[#This Row],[CANTIDAD]]</f>
        <v/>
      </c>
      <c r="J132" s="161">
        <f>Tabla2[[#This Row],[TOTAL (COP)]]/$M$1</f>
        <v/>
      </c>
    </row>
    <row r="133" ht="15.75" customHeight="1">
      <c r="A133" s="116" t="inlineStr">
        <is>
          <t>6. MATERIAL RODANTE</t>
        </is>
      </c>
      <c r="B133" s="107" t="inlineStr">
        <is>
          <t>6.2</t>
        </is>
      </c>
      <c r="C133" s="107" t="inlineStr">
        <is>
          <t>6.2.101</t>
        </is>
      </c>
      <c r="D133" s="108" t="inlineStr">
        <is>
          <t>Repuestos EOT (10%)</t>
        </is>
      </c>
      <c r="E133" s="107" t="inlineStr">
        <is>
          <t>SUMINISTRO</t>
        </is>
      </c>
      <c r="F133" s="107" t="inlineStr">
        <is>
          <t>UND</t>
        </is>
      </c>
      <c r="G133" s="107" t="n">
        <v>2</v>
      </c>
      <c r="H133" s="161" t="n">
        <v>25000000</v>
      </c>
      <c r="I133" s="161">
        <f>Tabla2[[#This Row],[VU (COP)]]*Tabla2[[#This Row],[CANTIDAD]]</f>
        <v/>
      </c>
      <c r="J133" s="161">
        <f>Tabla2[[#This Row],[TOTAL (COP)]]/$M$1</f>
        <v/>
      </c>
    </row>
    <row r="134" ht="15.75" customHeight="1">
      <c r="A134" s="117" t="inlineStr">
        <is>
          <t>6. MATERIAL RODANTE</t>
        </is>
      </c>
      <c r="B134" s="110" t="inlineStr">
        <is>
          <t>6.2</t>
        </is>
      </c>
      <c r="C134" s="110" t="inlineStr">
        <is>
          <t>6.2.102</t>
        </is>
      </c>
      <c r="D134" s="111" t="inlineStr">
        <is>
          <t>Instalación EOT</t>
        </is>
      </c>
      <c r="E134" s="110" t="inlineStr">
        <is>
          <t>SUMINISTRO</t>
        </is>
      </c>
      <c r="F134" s="110" t="inlineStr">
        <is>
          <t>UND</t>
        </is>
      </c>
      <c r="G134" s="110" t="n">
        <v>15</v>
      </c>
      <c r="H134" s="160" t="n">
        <v>5000000</v>
      </c>
      <c r="I134" s="161">
        <f>Tabla2[[#This Row],[VU (COP)]]*Tabla2[[#This Row],[CANTIDAD]]</f>
        <v/>
      </c>
      <c r="J134" s="161">
        <f>Tabla2[[#This Row],[TOTAL (COP)]]/$M$1</f>
        <v/>
      </c>
    </row>
    <row r="135" ht="15.75" customHeight="1">
      <c r="A135" s="116" t="inlineStr">
        <is>
          <t>6. MATERIAL RODANTE</t>
        </is>
      </c>
      <c r="B135" s="107" t="inlineStr">
        <is>
          <t>6.2</t>
        </is>
      </c>
      <c r="C135" s="107" t="inlineStr">
        <is>
          <t>6.2.103</t>
        </is>
      </c>
      <c r="D135" s="108" t="inlineStr">
        <is>
          <t>Configuración EOT</t>
        </is>
      </c>
      <c r="E135" s="107" t="inlineStr">
        <is>
          <t>SERVICIO</t>
        </is>
      </c>
      <c r="F135" s="107" t="inlineStr">
        <is>
          <t>UND</t>
        </is>
      </c>
      <c r="G135" s="107" t="n">
        <v>1</v>
      </c>
      <c r="H135" s="161" t="n">
        <v>20000000</v>
      </c>
      <c r="I135" s="161">
        <f>Tabla2[[#This Row],[VU (COP)]]*Tabla2[[#This Row],[CANTIDAD]]</f>
        <v/>
      </c>
      <c r="J135" s="161">
        <f>Tabla2[[#This Row],[TOTAL (COP)]]/$M$1</f>
        <v/>
      </c>
    </row>
    <row r="136" ht="15.75" customHeight="1">
      <c r="A136" s="118" t="n"/>
      <c r="B136" s="113" t="n"/>
      <c r="C136" s="113" t="n"/>
      <c r="D136" s="114" t="n"/>
      <c r="E136" s="113" t="n"/>
      <c r="F136" s="113" t="n"/>
      <c r="G136" s="113" t="n"/>
      <c r="H136" s="162" t="n"/>
      <c r="I136" s="161">
        <f>Tabla2[[#This Row],[VU (COP)]]*Tabla2[[#This Row],[CANTIDAD]]</f>
        <v/>
      </c>
      <c r="J136" s="161">
        <f>Tabla2[[#This Row],[TOTAL (COP)]]/$M$1</f>
        <v/>
      </c>
    </row>
    <row r="137" ht="15.75" customHeight="1"/>
    <row r="138" ht="15.75" customHeight="1">
      <c r="H138" s="47" t="inlineStr">
        <is>
          <t>CONCEPTO</t>
        </is>
      </c>
      <c r="I138" s="47" t="inlineStr">
        <is>
          <t>VALOR (COP)</t>
        </is>
      </c>
      <c r="J138" s="47" t="inlineStr">
        <is>
          <t>VALOR (USD)</t>
        </is>
      </c>
    </row>
    <row r="139" ht="15.75" customHeight="1">
      <c r="H139" s="18" t="inlineStr">
        <is>
          <t>SUBTOTAL SUMINISTROS</t>
        </is>
      </c>
      <c r="I139" s="163">
        <f>SUMIF($E$3:$E$135,"SUMINISTRO",$I$3:$I$135)</f>
        <v/>
      </c>
      <c r="J139" s="163">
        <f>I139/$M$1</f>
        <v/>
      </c>
    </row>
    <row r="140" ht="15.75" customHeight="1">
      <c r="H140" s="18" t="inlineStr">
        <is>
          <t>SUBTOTAL SERVICIOS</t>
        </is>
      </c>
      <c r="I140" s="163">
        <f>SUMIF($E$3:$E$135,"SERVICIO",$I$3:$I$135)</f>
        <v/>
      </c>
      <c r="J140" s="163">
        <f>I140/$M$1</f>
        <v/>
      </c>
    </row>
    <row r="141" ht="15.75" customHeight="1">
      <c r="H141" s="9" t="inlineStr">
        <is>
          <t>IVA 19% (Sum+Serv)</t>
        </is>
      </c>
      <c r="I141" s="154">
        <f>(I139+I140)*0.19</f>
        <v/>
      </c>
      <c r="J141" s="154">
        <f>I141/$M$1</f>
        <v/>
      </c>
    </row>
    <row r="142" ht="15.75" customHeight="1">
      <c r="H142" s="18" t="inlineStr">
        <is>
          <t>TOTAL c/IVA (Sum+Serv)</t>
        </is>
      </c>
      <c r="I142" s="163">
        <f>I139+I140+I141</f>
        <v/>
      </c>
      <c r="J142" s="163">
        <f>I142/$M$1</f>
        <v/>
      </c>
    </row>
    <row r="143" ht="15.75" customHeight="1">
      <c r="H143" s="9" t="n"/>
      <c r="I143" s="154" t="n"/>
      <c r="J143" s="154" t="n"/>
    </row>
    <row r="144" ht="15.75" customHeight="1">
      <c r="H144" s="18" t="inlineStr">
        <is>
          <t>SUBTOTAL OBRA CIVIL</t>
        </is>
      </c>
      <c r="I144" s="163">
        <f>SUMIF($E$3:$E$135,"OBRA",$I$3:$I$135)</f>
        <v/>
      </c>
      <c r="J144" s="163">
        <f>I144/$M$1</f>
        <v/>
      </c>
    </row>
    <row r="145" ht="15.75" customHeight="1">
      <c r="H145" s="9" t="inlineStr">
        <is>
          <t>Administración (23%)</t>
        </is>
      </c>
      <c r="I145" s="154">
        <f>I144*0.23</f>
        <v/>
      </c>
      <c r="J145" s="154">
        <f>I145/$M$1</f>
        <v/>
      </c>
    </row>
    <row r="146" ht="15.75" customHeight="1">
      <c r="H146" s="9" t="inlineStr">
        <is>
          <t>Imprevistos (5%)</t>
        </is>
      </c>
      <c r="I146" s="154">
        <f>I144*0.05</f>
        <v/>
      </c>
      <c r="J146" s="154">
        <f>I146/$M$1</f>
        <v/>
      </c>
    </row>
    <row r="147" ht="15.75" customHeight="1">
      <c r="H147" s="9" t="inlineStr">
        <is>
          <t>Utilidad (5%)</t>
        </is>
      </c>
      <c r="I147" s="154">
        <f>I144*0.05</f>
        <v/>
      </c>
      <c r="J147" s="154">
        <f>I147/$M$1</f>
        <v/>
      </c>
    </row>
    <row r="148" ht="15.75" customHeight="1">
      <c r="H148" s="9" t="inlineStr">
        <is>
          <t>IVA 19% (s/Util)</t>
        </is>
      </c>
      <c r="I148" s="154">
        <f>I147*0.19</f>
        <v/>
      </c>
      <c r="J148" s="154">
        <f>I148/$M$1</f>
        <v/>
      </c>
    </row>
    <row r="149" ht="15.75" customHeight="1">
      <c r="H149" s="18" t="inlineStr">
        <is>
          <t>AIU TOTAL</t>
        </is>
      </c>
      <c r="I149" s="163">
        <f>I144+I145+I146+I147+I148</f>
        <v/>
      </c>
      <c r="J149" s="163">
        <f>I149/$M$1</f>
        <v/>
      </c>
    </row>
    <row r="150" ht="15.75" customHeight="1">
      <c r="H150" s="9" t="n"/>
      <c r="I150" s="154" t="n"/>
      <c r="J150" s="154" t="n"/>
    </row>
    <row r="151" ht="15.75" customHeight="1">
      <c r="H151" s="18" t="inlineStr">
        <is>
          <t>Suministros + Servicios Total</t>
        </is>
      </c>
      <c r="I151" s="163">
        <f>I142</f>
        <v/>
      </c>
      <c r="J151" s="163">
        <f>I151/$M$1</f>
        <v/>
      </c>
    </row>
    <row r="152" ht="15.75" customHeight="1">
      <c r="H152" s="18" t="inlineStr">
        <is>
          <t>Obra Civil Total (con AIU)</t>
        </is>
      </c>
      <c r="I152" s="163">
        <f>I149</f>
        <v/>
      </c>
      <c r="J152" s="163">
        <f>I152/$M$1</f>
        <v/>
      </c>
    </row>
    <row r="153" ht="15.75" customHeight="1">
      <c r="H153" s="13" t="inlineStr">
        <is>
          <t>TOTAL GENERAL DEL PROYECTO</t>
        </is>
      </c>
      <c r="I153" s="164">
        <f>I151+I152</f>
        <v/>
      </c>
      <c r="J153" s="164">
        <f>I153/$M$1</f>
        <v/>
      </c>
    </row>
    <row r="154" ht="15.75" customHeight="1">
      <c r="H154" s="9" t="n"/>
      <c r="I154" s="154" t="n"/>
      <c r="J154" s="154" t="n"/>
    </row>
    <row r="155" ht="15.75" customHeight="1">
      <c r="H155" s="51" t="inlineStr">
        <is>
          <t>TRM aplicada</t>
        </is>
      </c>
      <c r="I155" s="50" t="n">
        <v>4400</v>
      </c>
      <c r="J155" s="165" t="n"/>
    </row>
    <row r="156" ht="15.75" customHeight="1">
      <c r="H156" s="136" t="inlineStr">
        <is>
          <t>Fecha generación</t>
        </is>
      </c>
      <c r="I156" s="136" t="inlineStr">
        <is>
          <t>2026-05-05</t>
        </is>
      </c>
      <c r="J156" s="136" t="n"/>
    </row>
  </sheetData>
  <pageMargins left="0.5" right="0.5" top="0.5" bottom="0.5" header="0.25" footer="0.25"/>
  <pageSetup orientation="landscape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topLeftCell="A110" workbookViewId="0">
      <pane ySplit="4" topLeftCell="A114" activePane="bottomLeft" state="frozen"/>
      <selection activeCell="A110" sqref="A110"/>
      <selection pane="bottomLeft" activeCell="F19" sqref="F19"/>
    </sheetView>
  </sheetViews>
  <sheetFormatPr baseColWidth="10" defaultRowHeight="15"/>
  <cols>
    <col width="15.875" customWidth="1" min="1" max="2"/>
    <col width="56.625" customWidth="1" min="3" max="3"/>
    <col width="9.125" customWidth="1" min="4" max="5"/>
    <col width="25.875" customWidth="1" min="6" max="7"/>
  </cols>
  <sheetData>
    <row r="1" ht="30" customHeight="1">
      <c r="A1" s="53" t="inlineStr">
        <is>
          <t>ACTA DE OBRA — OBRA CIVIL VS COMPRAS VS SERVICIOS</t>
        </is>
      </c>
    </row>
    <row r="2" ht="15.75" customHeight="1">
      <c r="A2" s="136" t="inlineStr">
        <is>
          <t>Clasificación por tipo. AIU 33% aplica solo sobre Obra Civil. IVA 19% aplica a Suministros, Servicios y Utilidad de Obra.</t>
        </is>
      </c>
    </row>
    <row r="3" ht="15.75" customHeight="1"/>
    <row r="4" ht="26.1" customHeight="1" thickBot="1">
      <c r="A4" s="45" t="inlineStr">
        <is>
          <t>TIPO</t>
        </is>
      </c>
      <c r="B4" s="45" t="inlineStr">
        <is>
          <t>ÍTEM</t>
        </is>
      </c>
      <c r="C4" s="55" t="inlineStr">
        <is>
          <t>DESCRIPCIÓN</t>
        </is>
      </c>
      <c r="D4" s="45" t="inlineStr">
        <is>
          <t>UND</t>
        </is>
      </c>
      <c r="E4" s="45" t="inlineStr">
        <is>
          <t>CANT</t>
        </is>
      </c>
      <c r="F4" s="45" t="inlineStr">
        <is>
          <t>VU (COP)</t>
        </is>
      </c>
      <c r="G4" s="45" t="inlineStr">
        <is>
          <t>TOTAL (COP)</t>
        </is>
      </c>
    </row>
    <row r="5" ht="30" customHeight="1">
      <c r="A5" s="56" t="inlineStr">
        <is>
          <t>SUMINISTRO</t>
        </is>
      </c>
      <c r="B5" s="3" t="inlineStr">
        <is>
          <t>1.1.100</t>
        </is>
      </c>
      <c r="C5" s="40" t="inlineStr">
        <is>
          <t>Servidores CTC principales</t>
        </is>
      </c>
      <c r="D5" s="3" t="inlineStr">
        <is>
          <t>UND</t>
        </is>
      </c>
      <c r="E5" s="3" t="inlineStr">
        <is>
          <t>2</t>
        </is>
      </c>
      <c r="F5" s="166" t="n">
        <v>180000000</v>
      </c>
      <c r="G5" s="166" t="n">
        <v>360000000</v>
      </c>
    </row>
    <row r="6" ht="30" customHeight="1">
      <c r="A6" s="56" t="inlineStr">
        <is>
          <t>SUMINISTRO</t>
        </is>
      </c>
      <c r="B6" s="3" t="inlineStr">
        <is>
          <t>1.1.101</t>
        </is>
      </c>
      <c r="C6" s="40" t="inlineStr">
        <is>
          <t>Servidores CTC respaldo</t>
        </is>
      </c>
      <c r="D6" s="3" t="inlineStr">
        <is>
          <t>UND</t>
        </is>
      </c>
      <c r="E6" s="3" t="inlineStr">
        <is>
          <t>2</t>
        </is>
      </c>
      <c r="F6" s="166" t="n">
        <v>180000000</v>
      </c>
      <c r="G6" s="166" t="n">
        <v>360000000</v>
      </c>
    </row>
    <row r="7" ht="30" customHeight="1">
      <c r="A7" s="56" t="inlineStr">
        <is>
          <t>SUMINISTRO</t>
        </is>
      </c>
      <c r="B7" s="3" t="inlineStr">
        <is>
          <t>1.1.102</t>
        </is>
      </c>
      <c r="C7" s="40" t="inlineStr">
        <is>
          <t>Workstations operadores</t>
        </is>
      </c>
      <c r="D7" s="3" t="inlineStr">
        <is>
          <t>UND</t>
        </is>
      </c>
      <c r="E7" s="3" t="inlineStr">
        <is>
          <t>8</t>
        </is>
      </c>
      <c r="F7" s="166" t="n">
        <v>45000000</v>
      </c>
      <c r="G7" s="166" t="n">
        <v>360000000</v>
      </c>
    </row>
    <row r="8" ht="105" customHeight="1">
      <c r="A8" s="56" t="inlineStr">
        <is>
          <t>SUMINISTRO</t>
        </is>
      </c>
      <c r="B8" s="3" t="inlineStr">
        <is>
          <t>1.1.103</t>
        </is>
      </c>
      <c r="C8" s="40" t="inlineStr">
        <is>
          <t>Software CTC virtual + Autorizaciones PTC (Interoperabilidad Procedimental)</t>
        </is>
      </c>
      <c r="D8" s="3" t="inlineStr">
        <is>
          <t>UND</t>
        </is>
      </c>
      <c r="E8" s="3" t="inlineStr">
        <is>
          <t>1</t>
        </is>
      </c>
      <c r="F8" s="166" t="n">
        <v>11000000000</v>
      </c>
      <c r="G8" s="166" t="n">
        <v>11000000000</v>
      </c>
    </row>
    <row r="9" ht="30" customHeight="1">
      <c r="A9" s="56" t="inlineStr">
        <is>
          <t>SUMINISTRO</t>
        </is>
      </c>
      <c r="B9" s="3" t="inlineStr">
        <is>
          <t>1.1.104</t>
        </is>
      </c>
      <c r="C9" s="40" t="inlineStr">
        <is>
          <t>Base de datos centralizada</t>
        </is>
      </c>
      <c r="D9" s="3" t="inlineStr">
        <is>
          <t>UND</t>
        </is>
      </c>
      <c r="E9" s="3" t="inlineStr">
        <is>
          <t>1</t>
        </is>
      </c>
      <c r="F9" s="166" t="n">
        <v>200000000</v>
      </c>
      <c r="G9" s="166" t="n">
        <v>200000000</v>
      </c>
    </row>
    <row r="10" ht="30" customHeight="1">
      <c r="A10" s="56" t="inlineStr">
        <is>
          <t>SUMINISTRO</t>
        </is>
      </c>
      <c r="B10" s="3" t="inlineStr">
        <is>
          <t>1.1.105</t>
        </is>
      </c>
      <c r="C10" s="40" t="inlineStr">
        <is>
          <t>Sistema redundancia</t>
        </is>
      </c>
      <c r="D10" s="3" t="inlineStr">
        <is>
          <t>UND</t>
        </is>
      </c>
      <c r="E10" s="3" t="inlineStr">
        <is>
          <t>1</t>
        </is>
      </c>
      <c r="F10" s="166" t="n">
        <v>300000000</v>
      </c>
      <c r="G10" s="166" t="n">
        <v>300000000</v>
      </c>
    </row>
    <row r="11" ht="30" customHeight="1">
      <c r="A11" s="56" t="inlineStr">
        <is>
          <t>SUMINISTRO</t>
        </is>
      </c>
      <c r="B11" s="3" t="inlineStr">
        <is>
          <t>1.1.106</t>
        </is>
      </c>
      <c r="C11" s="40" t="inlineStr">
        <is>
          <t>Interfaces comunicación</t>
        </is>
      </c>
      <c r="D11" s="3" t="inlineStr">
        <is>
          <t>UND</t>
        </is>
      </c>
      <c r="E11" s="3" t="inlineStr">
        <is>
          <t>1</t>
        </is>
      </c>
      <c r="F11" s="166" t="n">
        <v>150000000</v>
      </c>
      <c r="G11" s="166" t="n">
        <v>150000000</v>
      </c>
    </row>
    <row r="12" ht="30" customHeight="1">
      <c r="A12" s="56" t="inlineStr">
        <is>
          <t>SUMINISTRO</t>
        </is>
      </c>
      <c r="B12" s="3" t="inlineStr">
        <is>
          <t>1.2.100</t>
        </is>
      </c>
      <c r="C12" s="40" t="inlineStr">
        <is>
          <t>Computadora PTC embarcada</t>
        </is>
      </c>
      <c r="D12" s="3" t="inlineStr">
        <is>
          <t>UND</t>
        </is>
      </c>
      <c r="E12" s="3" t="inlineStr">
        <is>
          <t>15</t>
        </is>
      </c>
      <c r="F12" s="166" t="n">
        <v>120000000</v>
      </c>
      <c r="G12" s="166" t="n">
        <v>1800000000</v>
      </c>
    </row>
    <row r="13" ht="30" customHeight="1">
      <c r="A13" s="56" t="inlineStr">
        <is>
          <t>SUMINISTRO</t>
        </is>
      </c>
      <c r="B13" s="3" t="inlineStr">
        <is>
          <t>1.2.101</t>
        </is>
      </c>
      <c r="C13" s="40" t="inlineStr">
        <is>
          <t>Display maquinista</t>
        </is>
      </c>
      <c r="D13" s="3" t="inlineStr">
        <is>
          <t>UND</t>
        </is>
      </c>
      <c r="E13" s="3" t="inlineStr">
        <is>
          <t>15</t>
        </is>
      </c>
      <c r="F13" s="166" t="n">
        <v>80000000</v>
      </c>
      <c r="G13" s="166" t="n">
        <v>1200000000</v>
      </c>
    </row>
    <row r="14" ht="30" customHeight="1">
      <c r="A14" s="56" t="inlineStr">
        <is>
          <t>SUMINISTRO</t>
        </is>
      </c>
      <c r="B14" s="3" t="inlineStr">
        <is>
          <t>1.2.102</t>
        </is>
      </c>
      <c r="C14" s="40" t="inlineStr">
        <is>
          <t>Sensores velocidad</t>
        </is>
      </c>
      <c r="D14" s="3" t="inlineStr">
        <is>
          <t>UND</t>
        </is>
      </c>
      <c r="E14" s="3" t="inlineStr">
        <is>
          <t>15</t>
        </is>
      </c>
      <c r="F14" s="166" t="n">
        <v>25000000</v>
      </c>
      <c r="G14" s="166" t="n">
        <v>375000000</v>
      </c>
    </row>
    <row r="15" ht="15.75" customHeight="1">
      <c r="A15" s="56" t="inlineStr">
        <is>
          <t>SUMINISTRO</t>
        </is>
      </c>
      <c r="B15" s="3" t="inlineStr">
        <is>
          <t>1.2.103</t>
        </is>
      </c>
      <c r="C15" s="40" t="inlineStr">
        <is>
          <t>Sistema GPS</t>
        </is>
      </c>
      <c r="D15" s="3" t="inlineStr">
        <is>
          <t>UND</t>
        </is>
      </c>
      <c r="E15" s="3" t="inlineStr">
        <is>
          <t>15</t>
        </is>
      </c>
      <c r="F15" s="166" t="n">
        <v>35000000</v>
      </c>
      <c r="G15" s="166" t="n">
        <v>525000000</v>
      </c>
    </row>
    <row r="16" ht="15.75" customHeight="1">
      <c r="A16" s="56" t="inlineStr">
        <is>
          <t>SUMINISTRO</t>
        </is>
      </c>
      <c r="B16" s="3" t="inlineStr">
        <is>
          <t>1.2.104</t>
        </is>
      </c>
      <c r="C16" s="40" t="inlineStr">
        <is>
          <t>Software PTC</t>
        </is>
      </c>
      <c r="D16" s="3" t="inlineStr">
        <is>
          <t>UND</t>
        </is>
      </c>
      <c r="E16" s="3" t="inlineStr">
        <is>
          <t>15</t>
        </is>
      </c>
      <c r="F16" s="166" t="n">
        <v>100000000</v>
      </c>
      <c r="G16" s="166" t="n">
        <v>1500000000</v>
      </c>
    </row>
    <row r="17" ht="15.75" customHeight="1">
      <c r="A17" s="56" t="inlineStr">
        <is>
          <t>SUMINISTRO</t>
        </is>
      </c>
      <c r="B17" s="3" t="inlineStr">
        <is>
          <t>1.2.105</t>
        </is>
      </c>
      <c r="C17" s="40" t="inlineStr">
        <is>
          <t>Interfaces frenos</t>
        </is>
      </c>
      <c r="D17" s="3" t="inlineStr">
        <is>
          <t>UND</t>
        </is>
      </c>
      <c r="E17" s="3" t="inlineStr">
        <is>
          <t>15</t>
        </is>
      </c>
      <c r="F17" s="166" t="n">
        <v>30000000</v>
      </c>
      <c r="G17" s="166" t="n">
        <v>450000000</v>
      </c>
    </row>
    <row r="18" ht="30" customHeight="1">
      <c r="A18" s="56" t="inlineStr">
        <is>
          <t>SUMINISTRO</t>
        </is>
      </c>
      <c r="B18" s="3" t="inlineStr">
        <is>
          <t>1.2.106</t>
        </is>
      </c>
      <c r="C18" s="40" t="inlineStr">
        <is>
          <t>Sistema redundancia</t>
        </is>
      </c>
      <c r="D18" s="3" t="inlineStr">
        <is>
          <t>UND</t>
        </is>
      </c>
      <c r="E18" s="3" t="inlineStr">
        <is>
          <t>15</t>
        </is>
      </c>
      <c r="F18" s="166" t="n">
        <v>50000000</v>
      </c>
      <c r="G18" s="166" t="n">
        <v>750000000</v>
      </c>
    </row>
    <row r="19" ht="120" customHeight="1">
      <c r="A19" s="56" t="inlineStr">
        <is>
          <t>SUMINISTRO</t>
        </is>
      </c>
      <c r="B19" s="3" t="inlineStr">
        <is>
          <t>1.3.100</t>
        </is>
      </c>
      <c r="C19" s="40" t="inlineStr">
        <is>
          <t>Controlador ENCE Zapatosa (DT-COMS-2026-007: ADIF CAC020 €356,780 + ajustes trocha 914+log−MO ≈ $2,000M COP)</t>
        </is>
      </c>
      <c r="D19" s="3" t="inlineStr">
        <is>
          <t>UND</t>
        </is>
      </c>
      <c r="E19" s="3" t="inlineStr">
        <is>
          <t>1</t>
        </is>
      </c>
      <c r="F19" s="166" t="n">
        <v>2000000000</v>
      </c>
      <c r="G19" s="166" t="n">
        <v>2000000000</v>
      </c>
    </row>
    <row r="20" ht="60" customHeight="1">
      <c r="A20" s="56" t="inlineStr">
        <is>
          <t>SUMINISTRO</t>
        </is>
      </c>
      <c r="B20" s="3" t="inlineStr">
        <is>
          <t>1.3.101</t>
        </is>
      </c>
      <c r="C20" s="40" t="inlineStr">
        <is>
          <t>Controlador ENCE García Cadena (DT-COMS-2026-007)</t>
        </is>
      </c>
      <c r="D20" s="3" t="inlineStr">
        <is>
          <t>UND</t>
        </is>
      </c>
      <c r="E20" s="3" t="inlineStr">
        <is>
          <t>1</t>
        </is>
      </c>
      <c r="F20" s="166" t="n">
        <v>2000000000</v>
      </c>
      <c r="G20" s="166" t="n">
        <v>2000000000</v>
      </c>
    </row>
    <row r="21" ht="75" customHeight="1">
      <c r="A21" s="56" t="inlineStr">
        <is>
          <t>SUMINISTRO</t>
        </is>
      </c>
      <c r="B21" s="3" t="inlineStr">
        <is>
          <t>1.3.102</t>
        </is>
      </c>
      <c r="C21" s="40" t="inlineStr">
        <is>
          <t>Controlador ENCE Barrancabermeja (Puerto) (DT-COMS-2026-007)</t>
        </is>
      </c>
      <c r="D21" s="3" t="inlineStr">
        <is>
          <t>UND</t>
        </is>
      </c>
      <c r="E21" s="3" t="inlineStr">
        <is>
          <t>1</t>
        </is>
      </c>
      <c r="F21" s="166" t="n">
        <v>2000000000</v>
      </c>
      <c r="G21" s="166" t="n">
        <v>2000000000</v>
      </c>
    </row>
    <row r="22" ht="60" customHeight="1">
      <c r="A22" s="56" t="inlineStr">
        <is>
          <t>SUMINISTRO</t>
        </is>
      </c>
      <c r="B22" s="3" t="inlineStr">
        <is>
          <t>1.3.103</t>
        </is>
      </c>
      <c r="C22" s="40" t="inlineStr">
        <is>
          <t>Controlador ENCE Puerto Berrío-Grecia (DT-COMS-2026-007)</t>
        </is>
      </c>
      <c r="D22" s="3" t="inlineStr">
        <is>
          <t>UND</t>
        </is>
      </c>
      <c r="E22" s="3" t="inlineStr">
        <is>
          <t>1</t>
        </is>
      </c>
      <c r="F22" s="166" t="n">
        <v>2000000000</v>
      </c>
      <c r="G22" s="166" t="n">
        <v>2000000000</v>
      </c>
    </row>
    <row r="23" ht="60" customHeight="1">
      <c r="A23" s="56" t="inlineStr">
        <is>
          <t>SUMINISTRO</t>
        </is>
      </c>
      <c r="B23" s="3" t="inlineStr">
        <is>
          <t>1.3.104</t>
        </is>
      </c>
      <c r="C23" s="40" t="inlineStr">
        <is>
          <t>Controlador ENCE La Dorada-México (DT-COMS-2026-007)</t>
        </is>
      </c>
      <c r="D23" s="3" t="inlineStr">
        <is>
          <t>UND</t>
        </is>
      </c>
      <c r="E23" s="3" t="inlineStr">
        <is>
          <t>1</t>
        </is>
      </c>
      <c r="F23" s="166" t="n">
        <v>2000000000</v>
      </c>
      <c r="G23" s="166" t="n">
        <v>2000000000</v>
      </c>
    </row>
    <row r="24" ht="45" customHeight="1">
      <c r="A24" s="56" t="inlineStr">
        <is>
          <t>SUMINISTRO</t>
        </is>
      </c>
      <c r="B24" s="3" t="inlineStr">
        <is>
          <t>1.3.105</t>
        </is>
      </c>
      <c r="C24" s="40" t="inlineStr">
        <is>
          <t>Sistema redundancia ENCE</t>
        </is>
      </c>
      <c r="D24" s="3" t="inlineStr">
        <is>
          <t>UND</t>
        </is>
      </c>
      <c r="E24" s="3" t="inlineStr">
        <is>
          <t>1</t>
        </is>
      </c>
      <c r="F24" s="166" t="n">
        <v>400000000</v>
      </c>
      <c r="G24" s="166" t="n">
        <v>400000000</v>
      </c>
    </row>
    <row r="25" ht="30" customHeight="1">
      <c r="A25" s="56" t="inlineStr">
        <is>
          <t>SUMINISTRO</t>
        </is>
      </c>
      <c r="B25" s="3" t="inlineStr">
        <is>
          <t>1.3.106</t>
        </is>
      </c>
      <c r="C25" s="40" t="inlineStr">
        <is>
          <t>Interfaces CTC-ENCE</t>
        </is>
      </c>
      <c r="D25" s="3" t="inlineStr">
        <is>
          <t>UND</t>
        </is>
      </c>
      <c r="E25" s="3" t="inlineStr">
        <is>
          <t>5</t>
        </is>
      </c>
      <c r="F25" s="166" t="n">
        <v>60000000</v>
      </c>
      <c r="G25" s="166" t="n">
        <v>300000000</v>
      </c>
    </row>
    <row r="26" ht="120" customHeight="1">
      <c r="A26" s="56" t="inlineStr">
        <is>
          <t>SUMINISTRO</t>
        </is>
      </c>
      <c r="B26" s="3" t="inlineStr">
        <is>
          <t>1.4.100</t>
        </is>
      </c>
      <c r="C26" s="40" t="inlineStr">
        <is>
          <t>Desvíos motorizados CTC (DT-COMS-2026-007: ADIF VEA010 €114,320 + ajustes trocha 914+log−MO ≈ $640M COP)</t>
        </is>
      </c>
      <c r="D26" s="3" t="inlineStr">
        <is>
          <t>UND</t>
        </is>
      </c>
      <c r="E26" s="3" t="inlineStr">
        <is>
          <t>25</t>
        </is>
      </c>
      <c r="F26" s="166" t="n">
        <v>640000000</v>
      </c>
      <c r="G26" s="166" t="n">
        <v>16000000000</v>
      </c>
    </row>
    <row r="27" ht="45" customHeight="1">
      <c r="A27" s="56" t="inlineStr">
        <is>
          <t>SUMINISTRO</t>
        </is>
      </c>
      <c r="B27" s="3" t="inlineStr">
        <is>
          <t>1.4.101</t>
        </is>
      </c>
      <c r="C27" s="40" t="inlineStr">
        <is>
          <t>Sistemas control remoto + redundancia N+1</t>
        </is>
      </c>
      <c r="D27" s="3" t="inlineStr">
        <is>
          <t>UND</t>
        </is>
      </c>
      <c r="E27" s="3" t="inlineStr">
        <is>
          <t>25</t>
        </is>
      </c>
      <c r="F27" s="166" t="n">
        <v>134577000</v>
      </c>
      <c r="G27" s="166" t="n">
        <v>3364425000</v>
      </c>
    </row>
    <row r="28" ht="30" customHeight="1">
      <c r="A28" s="56" t="inlineStr">
        <is>
          <t>SUMINISTRO</t>
        </is>
      </c>
      <c r="B28" s="3" t="inlineStr">
        <is>
          <t>1.4.102</t>
        </is>
      </c>
      <c r="C28" s="40" t="inlineStr">
        <is>
          <t>Interfaces CTC/ENCE</t>
        </is>
      </c>
      <c r="D28" s="3" t="inlineStr">
        <is>
          <t>UND</t>
        </is>
      </c>
      <c r="E28" s="3" t="inlineStr">
        <is>
          <t>25</t>
        </is>
      </c>
      <c r="F28" s="166" t="n">
        <v>67288000</v>
      </c>
      <c r="G28" s="166" t="n">
        <v>1682200000</v>
      </c>
    </row>
    <row r="29" ht="90" customHeight="1">
      <c r="A29" s="56" t="inlineStr">
        <is>
          <t>SUMINISTRO</t>
        </is>
      </c>
      <c r="B29" s="3" t="inlineStr">
        <is>
          <t>1.5.100</t>
        </is>
      </c>
      <c r="C29" s="40" t="inlineStr">
        <is>
          <t>Desvíos manuales autotalonables (con comprobador integrado)</t>
        </is>
      </c>
      <c r="D29" s="3" t="inlineStr">
        <is>
          <t>UND</t>
        </is>
      </c>
      <c r="E29" s="3" t="inlineStr">
        <is>
          <t>120</t>
        </is>
      </c>
      <c r="F29" s="166" t="n">
        <v>134577000</v>
      </c>
      <c r="G29" s="166" t="n">
        <v>16149240000</v>
      </c>
    </row>
    <row r="30" ht="90" customHeight="1">
      <c r="A30" s="56" t="inlineStr">
        <is>
          <t>SUMINISTRO</t>
        </is>
      </c>
      <c r="B30" s="3" t="inlineStr">
        <is>
          <t>1.5.101</t>
        </is>
      </c>
      <c r="C30" s="40" t="inlineStr">
        <is>
          <t>Señalización semafórica estaciones ENCE (5 estaciones × 6 señales/estación promedio)</t>
        </is>
      </c>
      <c r="D30" s="3" t="inlineStr">
        <is>
          <t>UND</t>
        </is>
      </c>
      <c r="E30" s="3" t="inlineStr">
        <is>
          <t>30</t>
        </is>
      </c>
      <c r="F30" s="166" t="n">
        <v>51920000</v>
      </c>
      <c r="G30" s="166" t="n">
        <v>1557600000</v>
      </c>
    </row>
    <row r="31" ht="60" customHeight="1">
      <c r="A31" s="56" t="inlineStr">
        <is>
          <t>SUMINISTRO</t>
        </is>
      </c>
      <c r="B31" s="3" t="inlineStr">
        <is>
          <t>1.5.102</t>
        </is>
      </c>
      <c r="C31" s="40" t="inlineStr">
        <is>
          <t>Herramientas operación (kit completo certificado)</t>
        </is>
      </c>
      <c r="D31" s="3" t="inlineStr">
        <is>
          <t>UND</t>
        </is>
      </c>
      <c r="E31" s="3" t="inlineStr">
        <is>
          <t>120</t>
        </is>
      </c>
      <c r="F31" s="166" t="n">
        <v>13458000</v>
      </c>
      <c r="G31" s="166" t="n">
        <v>1614960000</v>
      </c>
    </row>
    <row r="32" ht="30" customHeight="1">
      <c r="A32" s="56" t="inlineStr">
        <is>
          <t>SUMINISTRO</t>
        </is>
      </c>
      <c r="B32" s="3" t="inlineStr">
        <is>
          <t>2.1.100</t>
        </is>
      </c>
      <c r="C32" s="40" t="inlineStr">
        <is>
          <t>Torres autosoportadas</t>
        </is>
      </c>
      <c r="D32" s="3" t="inlineStr">
        <is>
          <t>UND</t>
        </is>
      </c>
      <c r="E32" s="3" t="inlineStr">
        <is>
          <t>37</t>
        </is>
      </c>
      <c r="F32" s="166" t="n">
        <v>180000000</v>
      </c>
      <c r="G32" s="166" t="n">
        <v>6660000000</v>
      </c>
    </row>
    <row r="33" ht="30" customHeight="1">
      <c r="A33" s="56" t="inlineStr">
        <is>
          <t>SUMINISTRO</t>
        </is>
      </c>
      <c r="B33" s="3" t="inlineStr">
        <is>
          <t>2.1.101</t>
        </is>
      </c>
      <c r="C33" s="40" t="inlineStr">
        <is>
          <t>Estaciones base TETRA</t>
        </is>
      </c>
      <c r="D33" s="3" t="inlineStr">
        <is>
          <t>UND</t>
        </is>
      </c>
      <c r="E33" s="3" t="inlineStr">
        <is>
          <t>37</t>
        </is>
      </c>
      <c r="F33" s="166" t="n">
        <v>65000000</v>
      </c>
      <c r="G33" s="166" t="n">
        <v>2405000000</v>
      </c>
    </row>
    <row r="34" ht="15.75" customHeight="1">
      <c r="A34" s="56" t="inlineStr">
        <is>
          <t>SUMINISTRO</t>
        </is>
      </c>
      <c r="B34" s="3" t="inlineStr">
        <is>
          <t>2.1.102</t>
        </is>
      </c>
      <c r="C34" s="40" t="inlineStr">
        <is>
          <t>Antenas TETRA</t>
        </is>
      </c>
      <c r="D34" s="3" t="inlineStr">
        <is>
          <t>UND</t>
        </is>
      </c>
      <c r="E34" s="3" t="inlineStr">
        <is>
          <t>37</t>
        </is>
      </c>
      <c r="F34" s="166" t="n">
        <v>12000000</v>
      </c>
      <c r="G34" s="166" t="n">
        <v>444000000</v>
      </c>
    </row>
    <row r="35" ht="45" customHeight="1">
      <c r="A35" s="56" t="inlineStr">
        <is>
          <t>SUMINISTRO</t>
        </is>
      </c>
      <c r="B35" s="3" t="inlineStr">
        <is>
          <t>2.1.103</t>
        </is>
      </c>
      <c r="C35" s="40" t="inlineStr">
        <is>
          <t>Radios embarcados (30 unidades)</t>
        </is>
      </c>
      <c r="D35" s="3" t="inlineStr">
        <is>
          <t>UND</t>
        </is>
      </c>
      <c r="E35" s="3" t="inlineStr">
        <is>
          <t>30</t>
        </is>
      </c>
      <c r="F35" s="166" t="n">
        <v>35000000</v>
      </c>
      <c r="G35" s="166" t="n">
        <v>1050000000</v>
      </c>
    </row>
    <row r="36" ht="15.75" customHeight="1">
      <c r="A36" s="56" t="inlineStr">
        <is>
          <t>SUMINISTRO</t>
        </is>
      </c>
      <c r="B36" s="3" t="inlineStr">
        <is>
          <t>2.1.104</t>
        </is>
      </c>
      <c r="C36" s="40" t="inlineStr">
        <is>
          <t>Radios portátiles</t>
        </is>
      </c>
      <c r="D36" s="3" t="inlineStr">
        <is>
          <t>UND</t>
        </is>
      </c>
      <c r="E36" s="3" t="inlineStr">
        <is>
          <t>80</t>
        </is>
      </c>
      <c r="F36" s="166" t="n">
        <v>6000000</v>
      </c>
      <c r="G36" s="166" t="n">
        <v>480000000</v>
      </c>
    </row>
    <row r="37" ht="30" customHeight="1">
      <c r="A37" s="56" t="inlineStr">
        <is>
          <t>SUMINISTRO</t>
        </is>
      </c>
      <c r="B37" s="3" t="inlineStr">
        <is>
          <t>2.1.105</t>
        </is>
      </c>
      <c r="C37" s="40" t="inlineStr">
        <is>
          <t>Sistema control centralizado</t>
        </is>
      </c>
      <c r="D37" s="3" t="inlineStr">
        <is>
          <t>UND</t>
        </is>
      </c>
      <c r="E37" s="3" t="inlineStr">
        <is>
          <t>1</t>
        </is>
      </c>
      <c r="F37" s="166" t="n">
        <v>120000000</v>
      </c>
      <c r="G37" s="166" t="n">
        <v>120000000</v>
      </c>
    </row>
    <row r="38" ht="30" customHeight="1">
      <c r="A38" s="56" t="inlineStr">
        <is>
          <t>SUMINISTRO</t>
        </is>
      </c>
      <c r="B38" s="3" t="inlineStr">
        <is>
          <t>2.1.110</t>
        </is>
      </c>
      <c r="C38" s="40" t="inlineStr">
        <is>
          <t>Sistemas de seguridad</t>
        </is>
      </c>
      <c r="D38" s="3" t="inlineStr">
        <is>
          <t>UND</t>
        </is>
      </c>
      <c r="E38" s="3" t="inlineStr">
        <is>
          <t>37</t>
        </is>
      </c>
      <c r="F38" s="166" t="n">
        <v>20000000</v>
      </c>
      <c r="G38" s="166" t="n">
        <v>740000000</v>
      </c>
    </row>
    <row r="39" ht="15.75" customHeight="1">
      <c r="A39" s="56" t="inlineStr">
        <is>
          <t>SUMINISTRO</t>
        </is>
      </c>
      <c r="B39" s="3" t="inlineStr">
        <is>
          <t>2.1.115</t>
        </is>
      </c>
      <c r="C39" s="40" t="inlineStr">
        <is>
          <t>Repuestos (10%)</t>
        </is>
      </c>
      <c r="D39" s="3" t="inlineStr">
        <is>
          <t>UND</t>
        </is>
      </c>
      <c r="E39" s="3" t="inlineStr">
        <is>
          <t>1</t>
        </is>
      </c>
      <c r="F39" s="166" t="n">
        <v>1774000000</v>
      </c>
      <c r="G39" s="166" t="n">
        <v>1774000000</v>
      </c>
    </row>
    <row r="40" ht="90" customHeight="1">
      <c r="A40" s="56" t="inlineStr">
        <is>
          <t>SUMINISTRO</t>
        </is>
      </c>
      <c r="B40" s="3" t="inlineStr">
        <is>
          <t>2.1.116</t>
        </is>
      </c>
      <c r="C40" s="40" t="inlineStr">
        <is>
          <t>Bancos baterías UPS 24h sitios remotos TETRA (BCD §10.5 — química a definir vía RFQ)</t>
        </is>
      </c>
      <c r="D40" s="3" t="inlineStr">
        <is>
          <t>UND</t>
        </is>
      </c>
      <c r="E40" s="3" t="inlineStr">
        <is>
          <t>37</t>
        </is>
      </c>
      <c r="F40" s="166" t="n">
        <v>50000000</v>
      </c>
      <c r="G40" s="166" t="n">
        <v>1850000000</v>
      </c>
    </row>
    <row r="41" ht="120" customHeight="1">
      <c r="A41" s="56" t="inlineStr">
        <is>
          <t>SUMINISTRO</t>
        </is>
      </c>
      <c r="B41" s="3" t="inlineStr">
        <is>
          <t>2.2.100</t>
        </is>
      </c>
      <c r="C41" s="40" t="inlineStr">
        <is>
          <t>Estaciones base — red móvil broadband ferroviaria (complemento TETRA — tecnología por RFQ)</t>
        </is>
      </c>
      <c r="D41" s="3" t="inlineStr">
        <is>
          <t>UND</t>
        </is>
      </c>
      <c r="E41" s="3" t="inlineStr">
        <is>
          <t>37</t>
        </is>
      </c>
      <c r="F41" s="166" t="n">
        <v>45000000</v>
      </c>
      <c r="G41" s="166" t="n">
        <v>1665000000</v>
      </c>
    </row>
    <row r="42" ht="105" customHeight="1">
      <c r="A42" s="56" t="inlineStr">
        <is>
          <t>SUMINISTRO</t>
        </is>
      </c>
      <c r="B42" s="3" t="inlineStr">
        <is>
          <t>2.2.101</t>
        </is>
      </c>
      <c r="C42" s="40" t="inlineStr">
        <is>
          <t>Antenas — red móvil broadband ferroviaria (complemento TETRA — tecnología por RFQ)</t>
        </is>
      </c>
      <c r="D42" s="3" t="inlineStr">
        <is>
          <t>UND</t>
        </is>
      </c>
      <c r="E42" s="3" t="inlineStr">
        <is>
          <t>37</t>
        </is>
      </c>
      <c r="F42" s="166" t="n">
        <v>8000000</v>
      </c>
      <c r="G42" s="166" t="n">
        <v>296000000</v>
      </c>
    </row>
    <row r="43" ht="135" customHeight="1">
      <c r="A43" s="56" t="inlineStr">
        <is>
          <t>SUMINISTRO</t>
        </is>
      </c>
      <c r="B43" s="3" t="inlineStr">
        <is>
          <t>2.2.102</t>
        </is>
      </c>
      <c r="C43" s="40" t="inlineStr">
        <is>
          <t>Radios embarcados — red móvil broadband ferroviaria (complemento TETRA — tecnología por RFQ)</t>
        </is>
      </c>
      <c r="D43" s="3" t="inlineStr">
        <is>
          <t>UND</t>
        </is>
      </c>
      <c r="E43" s="3" t="inlineStr">
        <is>
          <t>30</t>
        </is>
      </c>
      <c r="F43" s="166" t="n">
        <v>25000000</v>
      </c>
      <c r="G43" s="166" t="n">
        <v>750000000</v>
      </c>
    </row>
    <row r="44" ht="90" customHeight="1">
      <c r="A44" s="56" t="inlineStr">
        <is>
          <t>SUMINISTRO</t>
        </is>
      </c>
      <c r="B44" s="3" t="inlineStr">
        <is>
          <t>2.2.103</t>
        </is>
      </c>
      <c r="C44" s="40" t="inlineStr">
        <is>
          <t>Sistema control — red móvil broadband ferroviaria (complemento TETRA)</t>
        </is>
      </c>
      <c r="D44" s="3" t="inlineStr">
        <is>
          <t>UND</t>
        </is>
      </c>
      <c r="E44" s="3" t="inlineStr">
        <is>
          <t>1</t>
        </is>
      </c>
      <c r="F44" s="166" t="n">
        <v>80000000</v>
      </c>
      <c r="G44" s="166" t="n">
        <v>80000000</v>
      </c>
    </row>
    <row r="45" ht="60" customHeight="1">
      <c r="A45" s="56" t="inlineStr">
        <is>
          <t>SUMINISTRO</t>
        </is>
      </c>
      <c r="B45" s="3" t="inlineStr">
        <is>
          <t>2.2.104</t>
        </is>
      </c>
      <c r="C45" s="40" t="inlineStr">
        <is>
          <t>Interfaces TETRA — red móvil broadband ferroviaria</t>
        </is>
      </c>
      <c r="D45" s="3" t="inlineStr">
        <is>
          <t>UND</t>
        </is>
      </c>
      <c r="E45" s="3" t="inlineStr">
        <is>
          <t>37</t>
        </is>
      </c>
      <c r="F45" s="166" t="n">
        <v>5000000</v>
      </c>
      <c r="G45" s="166" t="n">
        <v>185000000</v>
      </c>
    </row>
    <row r="46" ht="30" customHeight="1">
      <c r="A46" s="56" t="inlineStr">
        <is>
          <t>SUMINISTRO</t>
        </is>
      </c>
      <c r="B46" s="3" t="inlineStr">
        <is>
          <t>2.2.105</t>
        </is>
      </c>
      <c r="C46" s="40" t="inlineStr">
        <is>
          <t>Sistema redundancia</t>
        </is>
      </c>
      <c r="D46" s="3" t="inlineStr">
        <is>
          <t>UND</t>
        </is>
      </c>
      <c r="E46" s="3" t="inlineStr">
        <is>
          <t>1</t>
        </is>
      </c>
      <c r="F46" s="166" t="n">
        <v>150000000</v>
      </c>
      <c r="G46" s="166" t="n">
        <v>150000000</v>
      </c>
    </row>
    <row r="47" ht="15.75" customHeight="1">
      <c r="A47" s="56" t="inlineStr">
        <is>
          <t>SUMINISTRO</t>
        </is>
      </c>
      <c r="B47" s="3" t="inlineStr">
        <is>
          <t>2.2.108</t>
        </is>
      </c>
      <c r="C47" s="40" t="inlineStr">
        <is>
          <t>Repuestos (10%)</t>
        </is>
      </c>
      <c r="D47" s="3" t="inlineStr">
        <is>
          <t>UND</t>
        </is>
      </c>
      <c r="E47" s="3" t="inlineStr">
        <is>
          <t>1</t>
        </is>
      </c>
      <c r="F47" s="166" t="n">
        <v>312000000</v>
      </c>
      <c r="G47" s="166" t="n">
        <v>312000000</v>
      </c>
    </row>
    <row r="48" ht="135" customHeight="1">
      <c r="A48" s="56" t="inlineStr">
        <is>
          <t>SUMINISTRO</t>
        </is>
      </c>
      <c r="B48" s="3" t="inlineStr">
        <is>
          <t>2.3.100</t>
        </is>
      </c>
      <c r="C48" s="40" t="inlineStr">
        <is>
          <t>Cable fibra óptica monomodo 48 hilos G.652.D OSP (BCD §6.1.1 — solución homogénea 526km + 10% gasa técnica)</t>
        </is>
      </c>
      <c r="D48" s="3" t="inlineStr">
        <is>
          <t>KM</t>
        </is>
      </c>
      <c r="E48" s="3" t="inlineStr">
        <is>
          <t>579</t>
        </is>
      </c>
      <c r="F48" s="166" t="n">
        <v>9811013</v>
      </c>
      <c r="G48" s="166" t="n">
        <v>5680576527</v>
      </c>
    </row>
    <row r="49" ht="15.75" customHeight="1">
      <c r="A49" s="56" t="inlineStr">
        <is>
          <t>SUMINISTRO</t>
        </is>
      </c>
      <c r="B49" s="3" t="inlineStr">
        <is>
          <t>2.3.102</t>
        </is>
      </c>
      <c r="C49" s="40" t="inlineStr">
        <is>
          <t>Tritubo 40mm</t>
        </is>
      </c>
      <c r="D49" s="3" t="inlineStr">
        <is>
          <t>ROLLO</t>
        </is>
      </c>
      <c r="E49" s="3" t="inlineStr">
        <is>
          <t>1448</t>
        </is>
      </c>
      <c r="F49" s="166" t="n">
        <v>15845</v>
      </c>
      <c r="G49" s="166" t="n">
        <v>22943560</v>
      </c>
    </row>
    <row r="50" ht="30" customHeight="1">
      <c r="A50" s="56" t="inlineStr">
        <is>
          <t>SUMINISTRO</t>
        </is>
      </c>
      <c r="B50" s="3" t="inlineStr">
        <is>
          <t>2.3.103</t>
        </is>
      </c>
      <c r="C50" s="40" t="inlineStr">
        <is>
          <t>Cajas empalme 80x80</t>
        </is>
      </c>
      <c r="D50" s="3" t="inlineStr">
        <is>
          <t>UND</t>
        </is>
      </c>
      <c r="E50" s="3" t="inlineStr">
        <is>
          <t>1930</t>
        </is>
      </c>
      <c r="F50" s="166" t="n">
        <v>1350000</v>
      </c>
      <c r="G50" s="166" t="n">
        <v>2605500000</v>
      </c>
    </row>
    <row r="51" ht="15.75" customHeight="1">
      <c r="A51" s="56" t="inlineStr">
        <is>
          <t>SUMINISTRO</t>
        </is>
      </c>
      <c r="B51" s="3" t="inlineStr">
        <is>
          <t>2.3.104</t>
        </is>
      </c>
      <c r="C51" s="40" t="inlineStr">
        <is>
          <t>Uniones rápidas</t>
        </is>
      </c>
      <c r="D51" s="3" t="inlineStr">
        <is>
          <t>UND</t>
        </is>
      </c>
      <c r="E51" s="3" t="inlineStr">
        <is>
          <t>5790</t>
        </is>
      </c>
      <c r="F51" s="166" t="n">
        <v>35000</v>
      </c>
      <c r="G51" s="166" t="n">
        <v>202650000</v>
      </c>
    </row>
    <row r="52" ht="15.75" customHeight="1">
      <c r="A52" s="56" t="inlineStr">
        <is>
          <t>SUMINISTRO</t>
        </is>
      </c>
      <c r="B52" s="3" t="inlineStr">
        <is>
          <t>2.3.105</t>
        </is>
      </c>
      <c r="C52" s="40" t="inlineStr">
        <is>
          <t>Fusionadoras</t>
        </is>
      </c>
      <c r="D52" s="3" t="inlineStr">
        <is>
          <t>UND</t>
        </is>
      </c>
      <c r="E52" s="3" t="inlineStr">
        <is>
          <t>2</t>
        </is>
      </c>
      <c r="F52" s="166" t="n">
        <v>50000000</v>
      </c>
      <c r="G52" s="166" t="n">
        <v>100000000</v>
      </c>
    </row>
    <row r="53" ht="60" customHeight="1">
      <c r="A53" s="56" t="inlineStr">
        <is>
          <t>SUMINISTRO</t>
        </is>
      </c>
      <c r="B53" s="3" t="inlineStr">
        <is>
          <t>2.3.106</t>
        </is>
      </c>
      <c r="C53" s="40" t="inlineStr">
        <is>
          <t>OTDR triwavelength (1310/1550/1625 nm)</t>
        </is>
      </c>
      <c r="D53" s="3" t="inlineStr">
        <is>
          <t>UND</t>
        </is>
      </c>
      <c r="E53" s="3" t="inlineStr">
        <is>
          <t>2</t>
        </is>
      </c>
      <c r="F53" s="166" t="n">
        <v>90000000</v>
      </c>
      <c r="G53" s="166" t="n">
        <v>180000000</v>
      </c>
    </row>
    <row r="54" ht="30" customHeight="1">
      <c r="A54" s="56" t="inlineStr">
        <is>
          <t>SUMINISTRO</t>
        </is>
      </c>
      <c r="B54" s="3" t="inlineStr">
        <is>
          <t>2.3.107</t>
        </is>
      </c>
      <c r="C54" s="40" t="inlineStr">
        <is>
          <t>Muflas fusionado</t>
        </is>
      </c>
      <c r="D54" s="3" t="inlineStr">
        <is>
          <t>UND</t>
        </is>
      </c>
      <c r="E54" s="3" t="inlineStr">
        <is>
          <t>6800</t>
        </is>
      </c>
      <c r="F54" s="166" t="n">
        <v>25000</v>
      </c>
      <c r="G54" s="166" t="n">
        <v>170000000</v>
      </c>
    </row>
    <row r="55" ht="30" customHeight="1">
      <c r="A55" s="56" t="inlineStr">
        <is>
          <t>SUMINISTRO</t>
        </is>
      </c>
      <c r="B55" s="3" t="inlineStr">
        <is>
          <t>2.3.108</t>
        </is>
      </c>
      <c r="C55" s="40" t="inlineStr">
        <is>
          <t>Insumos fusionado</t>
        </is>
      </c>
      <c r="D55" s="3" t="inlineStr">
        <is>
          <t>UND</t>
        </is>
      </c>
      <c r="E55" s="3" t="inlineStr">
        <is>
          <t>6200</t>
        </is>
      </c>
      <c r="F55" s="166" t="n">
        <v>15000</v>
      </c>
      <c r="G55" s="166" t="n">
        <v>93000000</v>
      </c>
    </row>
    <row r="56" ht="60" customHeight="1">
      <c r="A56" s="56" t="inlineStr">
        <is>
          <t>SUMINISTRO</t>
        </is>
      </c>
      <c r="B56" s="3" t="inlineStr">
        <is>
          <t>2.3.109</t>
        </is>
      </c>
      <c r="C56" s="40" t="inlineStr">
        <is>
          <t>Repuestos Estratégicos (Stock 3% Corredor)</t>
        </is>
      </c>
      <c r="D56" s="3" t="inlineStr">
        <is>
          <t>KM</t>
        </is>
      </c>
      <c r="E56" s="3" t="inlineStr">
        <is>
          <t>16</t>
        </is>
      </c>
      <c r="F56" s="166" t="n">
        <v>8000000</v>
      </c>
      <c r="G56" s="166" t="n">
        <v>128000000</v>
      </c>
    </row>
    <row r="57" ht="150" customHeight="1">
      <c r="A57" s="56" t="inlineStr">
        <is>
          <t>SUMINISTRO</t>
        </is>
      </c>
      <c r="B57" s="3" t="inlineStr">
        <is>
          <t>2.4.100</t>
        </is>
      </c>
      <c r="C57" s="40" t="inlineStr">
        <is>
          <t>Habilitación Satelital Transitoria (Punto 42) — 5 terminales LEO + 12 meses suscripción (DT-SICC-2026-042, cadena 9.12→25.4)</t>
        </is>
      </c>
      <c r="D57" s="3" t="inlineStr">
        <is>
          <t>GLB</t>
        </is>
      </c>
      <c r="E57" s="3" t="inlineStr">
        <is>
          <t>1</t>
        </is>
      </c>
      <c r="F57" s="166" t="n">
        <v>1200000000</v>
      </c>
      <c r="G57" s="166" t="n">
        <v>1200000000</v>
      </c>
    </row>
    <row r="58" ht="75" customHeight="1">
      <c r="A58" s="56" t="inlineStr">
        <is>
          <t>SUMINISTRO</t>
        </is>
      </c>
      <c r="B58" s="3" t="inlineStr">
        <is>
          <t>3.1.100</t>
        </is>
      </c>
      <c r="C58" s="40" t="inlineStr">
        <is>
          <t>Cámaras PAN PTZ 4MP (73 unidades - cobertura completa)</t>
        </is>
      </c>
      <c r="D58" s="3" t="inlineStr">
        <is>
          <t>UND</t>
        </is>
      </c>
      <c r="E58" s="3" t="inlineStr">
        <is>
          <t>73</t>
        </is>
      </c>
      <c r="F58" s="166" t="n">
        <v>30000000</v>
      </c>
      <c r="G58" s="166" t="n">
        <v>2190000000</v>
      </c>
    </row>
    <row r="59" ht="30" customHeight="1">
      <c r="A59" s="56" t="inlineStr">
        <is>
          <t>SUMINISTRO</t>
        </is>
      </c>
      <c r="B59" s="3" t="inlineStr">
        <is>
          <t>3.1.101</t>
        </is>
      </c>
      <c r="C59" s="40" t="inlineStr">
        <is>
          <t>Cámaras talleres (12 unidades)</t>
        </is>
      </c>
      <c r="D59" s="3" t="inlineStr">
        <is>
          <t>UND</t>
        </is>
      </c>
      <c r="E59" s="3" t="inlineStr">
        <is>
          <t>12</t>
        </is>
      </c>
      <c r="F59" s="166" t="n">
        <v>6000000</v>
      </c>
      <c r="G59" s="166" t="n">
        <v>72000000</v>
      </c>
    </row>
    <row r="60" ht="30" customHeight="1">
      <c r="A60" s="56" t="inlineStr">
        <is>
          <t>SUMINISTRO</t>
        </is>
      </c>
      <c r="B60" s="3" t="inlineStr">
        <is>
          <t>3.1.102</t>
        </is>
      </c>
      <c r="C60" s="40" t="inlineStr">
        <is>
          <t>Cámaras CCO (8 unidades)</t>
        </is>
      </c>
      <c r="D60" s="3" t="inlineStr">
        <is>
          <t>UND</t>
        </is>
      </c>
      <c r="E60" s="3" t="inlineStr">
        <is>
          <t>8</t>
        </is>
      </c>
      <c r="F60" s="166" t="n">
        <v>10000000</v>
      </c>
      <c r="G60" s="166" t="n">
        <v>80000000</v>
      </c>
    </row>
    <row r="61" ht="45" customHeight="1">
      <c r="A61" s="56" t="inlineStr">
        <is>
          <t>SUMINISTRO</t>
        </is>
      </c>
      <c r="B61" s="3" t="inlineStr">
        <is>
          <t>3.1.103</t>
        </is>
      </c>
      <c r="C61" s="40" t="inlineStr">
        <is>
          <t>Cámaras estaciones (5 unidades)</t>
        </is>
      </c>
      <c r="D61" s="3" t="inlineStr">
        <is>
          <t>UND</t>
        </is>
      </c>
      <c r="E61" s="3" t="inlineStr">
        <is>
          <t>5</t>
        </is>
      </c>
      <c r="F61" s="166" t="n">
        <v>7000000</v>
      </c>
      <c r="G61" s="166" t="n">
        <v>35000000</v>
      </c>
    </row>
    <row r="62" ht="30" customHeight="1">
      <c r="A62" s="56" t="inlineStr">
        <is>
          <t>SUMINISTRO</t>
        </is>
      </c>
      <c r="B62" s="3" t="inlineStr">
        <is>
          <t>3.1.104</t>
        </is>
      </c>
      <c r="C62" s="40" t="inlineStr">
        <is>
          <t>Sistema grabación</t>
        </is>
      </c>
      <c r="D62" s="3" t="inlineStr">
        <is>
          <t>UND</t>
        </is>
      </c>
      <c r="E62" s="3" t="inlineStr">
        <is>
          <t>1</t>
        </is>
      </c>
      <c r="F62" s="166" t="n">
        <v>150000000</v>
      </c>
      <c r="G62" s="166" t="n">
        <v>150000000</v>
      </c>
    </row>
    <row r="63" ht="30" customHeight="1">
      <c r="A63" s="56" t="inlineStr">
        <is>
          <t>SUMINISTRO</t>
        </is>
      </c>
      <c r="B63" s="3" t="inlineStr">
        <is>
          <t>3.1.105</t>
        </is>
      </c>
      <c r="C63" s="40" t="inlineStr">
        <is>
          <t>Servidores almacenamiento</t>
        </is>
      </c>
      <c r="D63" s="3" t="inlineStr">
        <is>
          <t>UND</t>
        </is>
      </c>
      <c r="E63" s="3" t="inlineStr">
        <is>
          <t>2</t>
        </is>
      </c>
      <c r="F63" s="166" t="n">
        <v>80000000</v>
      </c>
      <c r="G63" s="166" t="n">
        <v>160000000</v>
      </c>
    </row>
    <row r="64" ht="15.75" customHeight="1">
      <c r="A64" s="56" t="inlineStr">
        <is>
          <t>SUMINISTRO</t>
        </is>
      </c>
      <c r="B64" s="3" t="inlineStr">
        <is>
          <t>3.1.106</t>
        </is>
      </c>
      <c r="C64" s="40" t="inlineStr">
        <is>
          <t>Software análisis</t>
        </is>
      </c>
      <c r="D64" s="3" t="inlineStr">
        <is>
          <t>UND</t>
        </is>
      </c>
      <c r="E64" s="3" t="inlineStr">
        <is>
          <t>1</t>
        </is>
      </c>
      <c r="F64" s="166" t="n">
        <v>120000000</v>
      </c>
      <c r="G64" s="166" t="n">
        <v>120000000</v>
      </c>
    </row>
    <row r="65" ht="15.75" customHeight="1">
      <c r="A65" s="56" t="inlineStr">
        <is>
          <t>SUMINISTRO</t>
        </is>
      </c>
      <c r="B65" s="3" t="inlineStr">
        <is>
          <t>3.1.107</t>
        </is>
      </c>
      <c r="C65" s="40" t="inlineStr">
        <is>
          <t>Monitores CCO</t>
        </is>
      </c>
      <c r="D65" s="3" t="inlineStr">
        <is>
          <t>UND</t>
        </is>
      </c>
      <c r="E65" s="3" t="inlineStr">
        <is>
          <t>8</t>
        </is>
      </c>
      <c r="F65" s="166" t="n">
        <v>15000000</v>
      </c>
      <c r="G65" s="166" t="n">
        <v>120000000</v>
      </c>
    </row>
    <row r="66" ht="15.75" customHeight="1">
      <c r="A66" s="56" t="inlineStr">
        <is>
          <t>SUMINISTRO</t>
        </is>
      </c>
      <c r="B66" s="3" t="inlineStr">
        <is>
          <t>3.1.109</t>
        </is>
      </c>
      <c r="C66" s="40" t="inlineStr">
        <is>
          <t>Repuestos (10%)</t>
        </is>
      </c>
      <c r="D66" s="3" t="inlineStr">
        <is>
          <t>UND</t>
        </is>
      </c>
      <c r="E66" s="3" t="inlineStr">
        <is>
          <t>1</t>
        </is>
      </c>
      <c r="F66" s="166" t="n">
        <v>307300000</v>
      </c>
      <c r="G66" s="166" t="n">
        <v>307300000</v>
      </c>
    </row>
    <row r="67" ht="60" customHeight="1">
      <c r="A67" s="56" t="inlineStr">
        <is>
          <t>SUMINISTRO</t>
        </is>
      </c>
      <c r="B67" s="3" t="inlineStr">
        <is>
          <t>3.2.100</t>
        </is>
      </c>
      <c r="C67" s="40" t="inlineStr">
        <is>
          <t>Lectores RFID control accesos (ISO 14443, IP65/IK10)</t>
        </is>
      </c>
      <c r="D67" s="3" t="inlineStr">
        <is>
          <t>UND</t>
        </is>
      </c>
      <c r="E67" s="3" t="inlineStr">
        <is>
          <t>100</t>
        </is>
      </c>
      <c r="F67" s="166" t="n">
        <v>3000000</v>
      </c>
      <c r="G67" s="166" t="n">
        <v>300000000</v>
      </c>
    </row>
    <row r="68" ht="15.75" customHeight="1">
      <c r="A68" s="56" t="inlineStr">
        <is>
          <t>SUMINISTRO</t>
        </is>
      </c>
      <c r="B68" s="3" t="inlineStr">
        <is>
          <t>3.2.101</t>
        </is>
      </c>
      <c r="C68" s="40" t="inlineStr">
        <is>
          <t>Tarjetas RFID</t>
        </is>
      </c>
      <c r="D68" s="3" t="inlineStr">
        <is>
          <t>UND</t>
        </is>
      </c>
      <c r="E68" s="3" t="inlineStr">
        <is>
          <t>1000</t>
        </is>
      </c>
      <c r="F68" s="166" t="n">
        <v>25000</v>
      </c>
      <c r="G68" s="166" t="n">
        <v>25000000</v>
      </c>
    </row>
    <row r="69" ht="30" customHeight="1">
      <c r="A69" s="56" t="inlineStr">
        <is>
          <t>SUMINISTRO</t>
        </is>
      </c>
      <c r="B69" s="3" t="inlineStr">
        <is>
          <t>3.2.102</t>
        </is>
      </c>
      <c r="C69" s="40" t="inlineStr">
        <is>
          <t>Sistema biométrico</t>
        </is>
      </c>
      <c r="D69" s="3" t="inlineStr">
        <is>
          <t>UND</t>
        </is>
      </c>
      <c r="E69" s="3" t="inlineStr">
        <is>
          <t>5</t>
        </is>
      </c>
      <c r="F69" s="166" t="n">
        <v>50000000</v>
      </c>
      <c r="G69" s="166" t="n">
        <v>250000000</v>
      </c>
    </row>
    <row r="70" ht="30" customHeight="1">
      <c r="A70" s="56" t="inlineStr">
        <is>
          <t>SUMINISTRO</t>
        </is>
      </c>
      <c r="B70" s="3" t="inlineStr">
        <is>
          <t>3.2.103</t>
        </is>
      </c>
      <c r="C70" s="40" t="inlineStr">
        <is>
          <t>Software control accesos</t>
        </is>
      </c>
      <c r="D70" s="3" t="inlineStr">
        <is>
          <t>UND</t>
        </is>
      </c>
      <c r="E70" s="3" t="inlineStr">
        <is>
          <t>1</t>
        </is>
      </c>
      <c r="F70" s="166" t="n">
        <v>80000000</v>
      </c>
      <c r="G70" s="166" t="n">
        <v>80000000</v>
      </c>
    </row>
    <row r="71" ht="30" customHeight="1">
      <c r="A71" s="56" t="inlineStr">
        <is>
          <t>SUMINISTRO</t>
        </is>
      </c>
      <c r="B71" s="3" t="inlineStr">
        <is>
          <t>3.2.104</t>
        </is>
      </c>
      <c r="C71" s="40" t="inlineStr">
        <is>
          <t>Cerraduras electrónicas</t>
        </is>
      </c>
      <c r="D71" s="3" t="inlineStr">
        <is>
          <t>UND</t>
        </is>
      </c>
      <c r="E71" s="3" t="inlineStr">
        <is>
          <t>50</t>
        </is>
      </c>
      <c r="F71" s="166" t="n">
        <v>8000000</v>
      </c>
      <c r="G71" s="166" t="n">
        <v>400000000</v>
      </c>
    </row>
    <row r="72" ht="30" customHeight="1">
      <c r="A72" s="56" t="inlineStr">
        <is>
          <t>SUMINISTRO</t>
        </is>
      </c>
      <c r="B72" s="3" t="inlineStr">
        <is>
          <t>3.2.105</t>
        </is>
      </c>
      <c r="C72" s="40" t="inlineStr">
        <is>
          <t>Intercomunicadores</t>
        </is>
      </c>
      <c r="D72" s="3" t="inlineStr">
        <is>
          <t>UND</t>
        </is>
      </c>
      <c r="E72" s="3" t="inlineStr">
        <is>
          <t>20</t>
        </is>
      </c>
      <c r="F72" s="166" t="n">
        <v>15000000</v>
      </c>
      <c r="G72" s="166" t="n">
        <v>300000000</v>
      </c>
    </row>
    <row r="73" ht="15.75" customHeight="1">
      <c r="A73" s="56" t="inlineStr">
        <is>
          <t>SUMINISTRO</t>
        </is>
      </c>
      <c r="B73" s="3" t="inlineStr">
        <is>
          <t>3.2.107</t>
        </is>
      </c>
      <c r="C73" s="40" t="inlineStr">
        <is>
          <t>Repuestos (10%)</t>
        </is>
      </c>
      <c r="D73" s="3" t="inlineStr">
        <is>
          <t>UND</t>
        </is>
      </c>
      <c r="E73" s="3" t="inlineStr">
        <is>
          <t>1</t>
        </is>
      </c>
      <c r="F73" s="166" t="n">
        <v>145500000</v>
      </c>
      <c r="G73" s="166" t="n">
        <v>145500000</v>
      </c>
    </row>
    <row r="74" ht="30" customHeight="1">
      <c r="A74" s="56" t="inlineStr">
        <is>
          <t>SUMINISTRO</t>
        </is>
      </c>
      <c r="B74" s="3" t="inlineStr">
        <is>
          <t>3.3.100</t>
        </is>
      </c>
      <c r="C74" s="40" t="inlineStr">
        <is>
          <t>Detectores humo</t>
        </is>
      </c>
      <c r="D74" s="3" t="inlineStr">
        <is>
          <t>UND</t>
        </is>
      </c>
      <c r="E74" s="3" t="inlineStr">
        <is>
          <t>200</t>
        </is>
      </c>
      <c r="F74" s="166" t="n">
        <v>150000</v>
      </c>
      <c r="G74" s="166" t="n">
        <v>30000000</v>
      </c>
    </row>
    <row r="75" ht="30" customHeight="1">
      <c r="A75" s="56" t="inlineStr">
        <is>
          <t>SUMINISTRO</t>
        </is>
      </c>
      <c r="B75" s="3" t="inlineStr">
        <is>
          <t>3.3.101</t>
        </is>
      </c>
      <c r="C75" s="40" t="inlineStr">
        <is>
          <t>Detectores temperatura</t>
        </is>
      </c>
      <c r="D75" s="3" t="inlineStr">
        <is>
          <t>UND</t>
        </is>
      </c>
      <c r="E75" s="3" t="inlineStr">
        <is>
          <t>150</t>
        </is>
      </c>
      <c r="F75" s="166" t="n">
        <v>200000</v>
      </c>
      <c r="G75" s="166" t="n">
        <v>30000000</v>
      </c>
    </row>
    <row r="76" ht="30" customHeight="1">
      <c r="A76" s="56" t="inlineStr">
        <is>
          <t>SUMINISTRO</t>
        </is>
      </c>
      <c r="B76" s="3" t="inlineStr">
        <is>
          <t>3.3.102</t>
        </is>
      </c>
      <c r="C76" s="40" t="inlineStr">
        <is>
          <t>Sistema aspersores</t>
        </is>
      </c>
      <c r="D76" s="3" t="inlineStr">
        <is>
          <t>UND</t>
        </is>
      </c>
      <c r="E76" s="3" t="inlineStr">
        <is>
          <t>50</t>
        </is>
      </c>
      <c r="F76" s="166" t="n">
        <v>800000</v>
      </c>
      <c r="G76" s="166" t="n">
        <v>40000000</v>
      </c>
    </row>
    <row r="77" ht="15.75" customHeight="1">
      <c r="A77" s="56" t="inlineStr">
        <is>
          <t>SUMINISTRO</t>
        </is>
      </c>
      <c r="B77" s="3" t="inlineStr">
        <is>
          <t>3.3.103</t>
        </is>
      </c>
      <c r="C77" s="40" t="inlineStr">
        <is>
          <t>Extintores</t>
        </is>
      </c>
      <c r="D77" s="3" t="inlineStr">
        <is>
          <t>UND</t>
        </is>
      </c>
      <c r="E77" s="3" t="inlineStr">
        <is>
          <t>100</t>
        </is>
      </c>
      <c r="F77" s="166" t="n">
        <v>500000</v>
      </c>
      <c r="G77" s="166" t="n">
        <v>50000000</v>
      </c>
    </row>
    <row r="78" ht="15.75" customHeight="1">
      <c r="A78" s="56" t="inlineStr">
        <is>
          <t>SUMINISTRO</t>
        </is>
      </c>
      <c r="B78" s="3" t="inlineStr">
        <is>
          <t>3.3.104</t>
        </is>
      </c>
      <c r="C78" s="40" t="inlineStr">
        <is>
          <t>Sistema alarma</t>
        </is>
      </c>
      <c r="D78" s="3" t="inlineStr">
        <is>
          <t>UND</t>
        </is>
      </c>
      <c r="E78" s="3" t="inlineStr">
        <is>
          <t>1</t>
        </is>
      </c>
      <c r="F78" s="166" t="n">
        <v>120000000</v>
      </c>
      <c r="G78" s="166" t="n">
        <v>120000000</v>
      </c>
    </row>
    <row r="79" ht="30" customHeight="1">
      <c r="A79" s="56" t="inlineStr">
        <is>
          <t>SUMINISTRO</t>
        </is>
      </c>
      <c r="B79" s="3" t="inlineStr">
        <is>
          <t>3.3.105</t>
        </is>
      </c>
      <c r="C79" s="40" t="inlineStr">
        <is>
          <t>Botones emergencia</t>
        </is>
      </c>
      <c r="D79" s="3" t="inlineStr">
        <is>
          <t>UND</t>
        </is>
      </c>
      <c r="E79" s="3" t="inlineStr">
        <is>
          <t>30</t>
        </is>
      </c>
      <c r="F79" s="166" t="n">
        <v>500000</v>
      </c>
      <c r="G79" s="166" t="n">
        <v>15000000</v>
      </c>
    </row>
    <row r="80" ht="15.75" customHeight="1">
      <c r="A80" s="56" t="inlineStr">
        <is>
          <t>SUMINISTRO</t>
        </is>
      </c>
      <c r="B80" s="3" t="inlineStr">
        <is>
          <t>3.3.106</t>
        </is>
      </c>
      <c r="C80" s="40" t="inlineStr">
        <is>
          <t>Instalación</t>
        </is>
      </c>
      <c r="D80" s="3" t="inlineStr">
        <is>
          <t>UND</t>
        </is>
      </c>
      <c r="E80" s="3" t="inlineStr">
        <is>
          <t>1</t>
        </is>
      </c>
      <c r="F80" s="166" t="n">
        <v>80000000</v>
      </c>
      <c r="G80" s="166" t="n">
        <v>80000000</v>
      </c>
    </row>
    <row r="81" ht="15.75" customHeight="1">
      <c r="A81" s="56" t="inlineStr">
        <is>
          <t>SUMINISTRO</t>
        </is>
      </c>
      <c r="B81" s="3" t="inlineStr">
        <is>
          <t>3.3.107</t>
        </is>
      </c>
      <c r="C81" s="40" t="inlineStr">
        <is>
          <t>Repuestos (10%)</t>
        </is>
      </c>
      <c r="D81" s="3" t="inlineStr">
        <is>
          <t>UND</t>
        </is>
      </c>
      <c r="E81" s="3" t="inlineStr">
        <is>
          <t>1</t>
        </is>
      </c>
      <c r="F81" s="166" t="n">
        <v>36500000</v>
      </c>
      <c r="G81" s="166" t="n">
        <v>36500000</v>
      </c>
    </row>
    <row r="82" ht="75" customHeight="1">
      <c r="A82" s="56" t="inlineStr">
        <is>
          <t>SUMINISTRO</t>
        </is>
      </c>
      <c r="B82" s="3" t="inlineStr">
        <is>
          <t>4.1.100</t>
        </is>
      </c>
      <c r="C82" s="40" t="inlineStr">
        <is>
          <t>Sistemas barreras automáticas SIL-3 vital (FRA Part 236 Subpart I)</t>
        </is>
      </c>
      <c r="D82" s="3" t="inlineStr">
        <is>
          <t>UND</t>
        </is>
      </c>
      <c r="E82" s="3" t="inlineStr">
        <is>
          <t>9</t>
        </is>
      </c>
      <c r="F82" s="166" t="n">
        <v>180000000</v>
      </c>
      <c r="G82" s="166" t="n">
        <v>1620000000</v>
      </c>
    </row>
    <row r="83" ht="45" customHeight="1">
      <c r="A83" s="56" t="inlineStr">
        <is>
          <t>SUMINISTRO</t>
        </is>
      </c>
      <c r="B83" s="3" t="inlineStr">
        <is>
          <t>4.1.101</t>
        </is>
      </c>
      <c r="C83" s="40" t="inlineStr">
        <is>
          <t>Senalización LED (Res. 20243040045005)</t>
        </is>
      </c>
      <c r="D83" s="3" t="inlineStr">
        <is>
          <t>UND</t>
        </is>
      </c>
      <c r="E83" s="3" t="inlineStr">
        <is>
          <t>9</t>
        </is>
      </c>
      <c r="F83" s="166" t="n">
        <v>80000000</v>
      </c>
      <c r="G83" s="166" t="n">
        <v>720000000</v>
      </c>
    </row>
    <row r="84" ht="75" customHeight="1">
      <c r="A84" s="56" t="inlineStr">
        <is>
          <t>SUMINISTRO</t>
        </is>
      </c>
      <c r="B84" s="3" t="inlineStr">
        <is>
          <t>4.1.102</t>
        </is>
      </c>
      <c r="C84" s="40" t="inlineStr">
        <is>
          <t>Sistemas detección vehículos SIL-3 vital (FRA Part 236 Subpart I)</t>
        </is>
      </c>
      <c r="D84" s="3" t="inlineStr">
        <is>
          <t>UND</t>
        </is>
      </c>
      <c r="E84" s="3" t="inlineStr">
        <is>
          <t>9</t>
        </is>
      </c>
      <c r="F84" s="166" t="n">
        <v>360000000</v>
      </c>
      <c r="G84" s="166" t="n">
        <v>3240000000</v>
      </c>
    </row>
    <row r="85" ht="30" customHeight="1">
      <c r="A85" s="56" t="inlineStr">
        <is>
          <t>SUMINISTRO</t>
        </is>
      </c>
      <c r="B85" s="3" t="inlineStr">
        <is>
          <t>4.1.103</t>
        </is>
      </c>
      <c r="C85" s="40" t="inlineStr">
        <is>
          <t>Sistemas comunicación</t>
        </is>
      </c>
      <c r="D85" s="3" t="inlineStr">
        <is>
          <t>UND</t>
        </is>
      </c>
      <c r="E85" s="3" t="inlineStr">
        <is>
          <t>9</t>
        </is>
      </c>
      <c r="F85" s="166" t="n">
        <v>60000000</v>
      </c>
      <c r="G85" s="166" t="n">
        <v>540000000</v>
      </c>
    </row>
    <row r="86" ht="60" customHeight="1">
      <c r="A86" s="56" t="inlineStr">
        <is>
          <t>SUMINISTRO</t>
        </is>
      </c>
      <c r="B86" s="3" t="inlineStr">
        <is>
          <t>4.1.104</t>
        </is>
      </c>
      <c r="C86" s="40" t="inlineStr">
        <is>
          <t>Sistemas emergencia SIL-3 vital (FRA Part 236 Subpart I)</t>
        </is>
      </c>
      <c r="D86" s="3" t="inlineStr">
        <is>
          <t>UND</t>
        </is>
      </c>
      <c r="E86" s="3" t="inlineStr">
        <is>
          <t>9</t>
        </is>
      </c>
      <c r="F86" s="166" t="n">
        <v>40000000</v>
      </c>
      <c r="G86" s="166" t="n">
        <v>360000000</v>
      </c>
    </row>
    <row r="87" ht="15.75" customHeight="1">
      <c r="A87" s="56" t="inlineStr">
        <is>
          <t>SUMINISTRO</t>
        </is>
      </c>
      <c r="B87" s="3" t="inlineStr">
        <is>
          <t>4.1.106</t>
        </is>
      </c>
      <c r="C87" s="40" t="inlineStr">
        <is>
          <t>Repuestos (10%)</t>
        </is>
      </c>
      <c r="D87" s="3" t="inlineStr">
        <is>
          <t>UND</t>
        </is>
      </c>
      <c r="E87" s="3" t="inlineStr">
        <is>
          <t>1</t>
        </is>
      </c>
      <c r="F87" s="166" t="n">
        <v>828000000</v>
      </c>
      <c r="G87" s="166" t="n">
        <v>828000000</v>
      </c>
    </row>
    <row r="88" ht="120" customHeight="1">
      <c r="A88" s="56" t="inlineStr">
        <is>
          <t>SUMINISTRO</t>
        </is>
      </c>
      <c r="B88" s="3" t="inlineStr">
        <is>
          <t>4.2.100</t>
        </is>
      </c>
      <c r="C88" s="40" t="inlineStr">
        <is>
          <t>Señales Luminosas y Acústicas (SLA) — PaN Tipo B (BCD §8.2.1, NTC 4741:1999). VU pendiente RFQ COL.</t>
        </is>
      </c>
      <c r="D88" s="3" t="inlineStr">
        <is>
          <t>UND</t>
        </is>
      </c>
      <c r="E88" s="3" t="inlineStr">
        <is>
          <t>15</t>
        </is>
      </c>
      <c r="F88" s="166" t="n">
        <v>120000000</v>
      </c>
      <c r="G88" s="166" t="n">
        <v>1800000000</v>
      </c>
    </row>
    <row r="89" ht="45" customHeight="1">
      <c r="A89" s="56" t="inlineStr">
        <is>
          <t>SUMINISTRO</t>
        </is>
      </c>
      <c r="B89" s="3" t="inlineStr">
        <is>
          <t>4.2.101</t>
        </is>
      </c>
      <c r="C89" s="40" t="inlineStr">
        <is>
          <t>Senalización basica (Res. 20243040045005)</t>
        </is>
      </c>
      <c r="D89" s="3" t="inlineStr">
        <is>
          <t>UND</t>
        </is>
      </c>
      <c r="E89" s="3" t="inlineStr">
        <is>
          <t>15</t>
        </is>
      </c>
      <c r="F89" s="166" t="n">
        <v>50000000</v>
      </c>
      <c r="G89" s="166" t="n">
        <v>750000000</v>
      </c>
    </row>
    <row r="90" ht="30" customHeight="1">
      <c r="A90" s="56" t="inlineStr">
        <is>
          <t>SUMINISTRO</t>
        </is>
      </c>
      <c r="B90" s="3" t="inlineStr">
        <is>
          <t>4.2.102</t>
        </is>
      </c>
      <c r="C90" s="40" t="inlineStr">
        <is>
          <t>Sistemas detección</t>
        </is>
      </c>
      <c r="D90" s="3" t="inlineStr">
        <is>
          <t>UND</t>
        </is>
      </c>
      <c r="E90" s="3" t="inlineStr">
        <is>
          <t>15</t>
        </is>
      </c>
      <c r="F90" s="166" t="n">
        <v>80000000</v>
      </c>
      <c r="G90" s="166" t="n">
        <v>1200000000</v>
      </c>
    </row>
    <row r="91" ht="30" customHeight="1">
      <c r="A91" s="56" t="inlineStr">
        <is>
          <t>SUMINISTRO</t>
        </is>
      </c>
      <c r="B91" s="3" t="inlineStr">
        <is>
          <t>4.2.103</t>
        </is>
      </c>
      <c r="C91" s="40" t="inlineStr">
        <is>
          <t>Sistemas comunicación</t>
        </is>
      </c>
      <c r="D91" s="3" t="inlineStr">
        <is>
          <t>UND</t>
        </is>
      </c>
      <c r="E91" s="3" t="inlineStr">
        <is>
          <t>15</t>
        </is>
      </c>
      <c r="F91" s="166" t="n">
        <v>40000000</v>
      </c>
      <c r="G91" s="166" t="n">
        <v>600000000</v>
      </c>
    </row>
    <row r="92" ht="15.75" customHeight="1">
      <c r="A92" s="56" t="inlineStr">
        <is>
          <t>SUMINISTRO</t>
        </is>
      </c>
      <c r="B92" s="3" t="inlineStr">
        <is>
          <t>4.2.104</t>
        </is>
      </c>
      <c r="C92" s="40" t="inlineStr">
        <is>
          <t>Instalación</t>
        </is>
      </c>
      <c r="D92" s="3" t="inlineStr">
        <is>
          <t>UND</t>
        </is>
      </c>
      <c r="E92" s="3" t="inlineStr">
        <is>
          <t>15</t>
        </is>
      </c>
      <c r="F92" s="166" t="n">
        <v>60000000</v>
      </c>
      <c r="G92" s="166" t="n">
        <v>900000000</v>
      </c>
    </row>
    <row r="93" ht="15.75" customHeight="1">
      <c r="A93" s="56" t="inlineStr">
        <is>
          <t>SUMINISTRO</t>
        </is>
      </c>
      <c r="B93" s="3" t="inlineStr">
        <is>
          <t>4.2.105</t>
        </is>
      </c>
      <c r="C93" s="40" t="inlineStr">
        <is>
          <t>Repuestos (10%)</t>
        </is>
      </c>
      <c r="D93" s="3" t="inlineStr">
        <is>
          <t>UND</t>
        </is>
      </c>
      <c r="E93" s="3" t="inlineStr">
        <is>
          <t>1</t>
        </is>
      </c>
      <c r="F93" s="166" t="n">
        <v>525000000</v>
      </c>
      <c r="G93" s="166" t="n">
        <v>525000000</v>
      </c>
    </row>
    <row r="94" ht="60" customHeight="1">
      <c r="A94" s="56" t="inlineStr">
        <is>
          <t>SUMINISTRO</t>
        </is>
      </c>
      <c r="B94" s="3" t="inlineStr">
        <is>
          <t>4.3.100</t>
        </is>
      </c>
      <c r="C94" s="40" t="inlineStr">
        <is>
          <t>Senalización basica (Manual 2024 / Res. 20243040045005)</t>
        </is>
      </c>
      <c r="D94" s="3" t="inlineStr">
        <is>
          <t>UND</t>
        </is>
      </c>
      <c r="E94" s="3" t="inlineStr">
        <is>
          <t>122</t>
        </is>
      </c>
      <c r="F94" s="166" t="n">
        <v>25000000</v>
      </c>
      <c r="G94" s="166" t="n">
        <v>3050000000</v>
      </c>
    </row>
    <row r="95" ht="15.75" customHeight="1">
      <c r="A95" s="56" t="inlineStr">
        <is>
          <t>SUMINISTRO</t>
        </is>
      </c>
      <c r="B95" s="3" t="inlineStr">
        <is>
          <t>4.3.103</t>
        </is>
      </c>
      <c r="C95" s="40" t="inlineStr">
        <is>
          <t>Repuestos (10%)</t>
        </is>
      </c>
      <c r="D95" s="3" t="inlineStr">
        <is>
          <t>UND</t>
        </is>
      </c>
      <c r="E95" s="3" t="inlineStr">
        <is>
          <t>1</t>
        </is>
      </c>
      <c r="F95" s="166" t="n">
        <v>305000000</v>
      </c>
      <c r="G95" s="166" t="n">
        <v>305000000</v>
      </c>
    </row>
    <row r="96" ht="30" customHeight="1">
      <c r="A96" s="56" t="inlineStr">
        <is>
          <t>SUMINISTRO</t>
        </is>
      </c>
      <c r="B96" s="3" t="inlineStr">
        <is>
          <t>5.1.100</t>
        </is>
      </c>
      <c r="C96" s="40" t="inlineStr">
        <is>
          <t>Construcción edificio</t>
        </is>
      </c>
      <c r="D96" s="3" t="inlineStr">
        <is>
          <t>UND</t>
        </is>
      </c>
      <c r="E96" s="3" t="inlineStr">
        <is>
          <t>1</t>
        </is>
      </c>
      <c r="F96" s="166" t="n">
        <v>2500000000</v>
      </c>
      <c r="G96" s="166" t="n">
        <v>2500000000</v>
      </c>
    </row>
    <row r="97" ht="15.75" customHeight="1">
      <c r="A97" s="56" t="inlineStr">
        <is>
          <t>SUMINISTRO</t>
        </is>
      </c>
      <c r="B97" s="3" t="inlineStr">
        <is>
          <t>5.1.101</t>
        </is>
      </c>
      <c r="C97" s="40" t="inlineStr">
        <is>
          <t>Sala de control</t>
        </is>
      </c>
      <c r="D97" s="3" t="inlineStr">
        <is>
          <t>UND</t>
        </is>
      </c>
      <c r="E97" s="3" t="inlineStr">
        <is>
          <t>1</t>
        </is>
      </c>
      <c r="F97" s="166" t="n">
        <v>800000000</v>
      </c>
      <c r="G97" s="166" t="n">
        <v>800000000</v>
      </c>
    </row>
    <row r="98" ht="15.75" customHeight="1">
      <c r="A98" s="56" t="inlineStr">
        <is>
          <t>SUMINISTRO</t>
        </is>
      </c>
      <c r="B98" s="3" t="inlineStr">
        <is>
          <t>5.1.102</t>
        </is>
      </c>
      <c r="C98" s="40" t="inlineStr">
        <is>
          <t>Sistemas HVAC</t>
        </is>
      </c>
      <c r="D98" s="3" t="inlineStr">
        <is>
          <t>UND</t>
        </is>
      </c>
      <c r="E98" s="3" t="inlineStr">
        <is>
          <t>1</t>
        </is>
      </c>
      <c r="F98" s="166" t="n">
        <v>300000000</v>
      </c>
      <c r="G98" s="166" t="n">
        <v>300000000</v>
      </c>
    </row>
    <row r="99" ht="30" customHeight="1">
      <c r="A99" s="56" t="inlineStr">
        <is>
          <t>SUMINISTRO</t>
        </is>
      </c>
      <c r="B99" s="3" t="inlineStr">
        <is>
          <t>5.1.103</t>
        </is>
      </c>
      <c r="C99" s="40" t="inlineStr">
        <is>
          <t>Sistemas eléctricos</t>
        </is>
      </c>
      <c r="D99" s="3" t="inlineStr">
        <is>
          <t>UND</t>
        </is>
      </c>
      <c r="E99" s="3" t="inlineStr">
        <is>
          <t>1</t>
        </is>
      </c>
      <c r="F99" s="166" t="n">
        <v>400000000</v>
      </c>
      <c r="G99" s="166" t="n">
        <v>400000000</v>
      </c>
    </row>
    <row r="100" ht="30" customHeight="1">
      <c r="A100" s="56" t="inlineStr">
        <is>
          <t>SUMINISTRO</t>
        </is>
      </c>
      <c r="B100" s="3" t="inlineStr">
        <is>
          <t>5.1.104</t>
        </is>
      </c>
      <c r="C100" s="40" t="inlineStr">
        <is>
          <t>Sistemas seguridad</t>
        </is>
      </c>
      <c r="D100" s="3" t="inlineStr">
        <is>
          <t>UND</t>
        </is>
      </c>
      <c r="E100" s="3" t="inlineStr">
        <is>
          <t>1</t>
        </is>
      </c>
      <c r="F100" s="166" t="n">
        <v>200000000</v>
      </c>
      <c r="G100" s="166" t="n">
        <v>200000000</v>
      </c>
    </row>
    <row r="101" ht="30" customHeight="1">
      <c r="A101" s="56" t="inlineStr">
        <is>
          <t>SUMINISTRO</t>
        </is>
      </c>
      <c r="B101" s="3" t="inlineStr">
        <is>
          <t>5.1.105</t>
        </is>
      </c>
      <c r="C101" s="40" t="inlineStr">
        <is>
          <t>Sistemas comunicaciones</t>
        </is>
      </c>
      <c r="D101" s="3" t="inlineStr">
        <is>
          <t>UND</t>
        </is>
      </c>
      <c r="E101" s="3" t="inlineStr">
        <is>
          <t>1</t>
        </is>
      </c>
      <c r="F101" s="166" t="n">
        <v>150000000</v>
      </c>
      <c r="G101" s="166" t="n">
        <v>150000000</v>
      </c>
    </row>
    <row r="102" ht="30" customHeight="1">
      <c r="A102" s="56" t="inlineStr">
        <is>
          <t>SUMINISTRO</t>
        </is>
      </c>
      <c r="B102" s="3" t="inlineStr">
        <is>
          <t>5.2.100</t>
        </is>
      </c>
      <c r="C102" s="40" t="inlineStr">
        <is>
          <t>Consolas operadores</t>
        </is>
      </c>
      <c r="D102" s="3" t="inlineStr">
        <is>
          <t>UND</t>
        </is>
      </c>
      <c r="E102" s="3" t="inlineStr">
        <is>
          <t>8</t>
        </is>
      </c>
      <c r="F102" s="166" t="n">
        <v>120000000</v>
      </c>
      <c r="G102" s="166" t="n">
        <v>960000000</v>
      </c>
    </row>
    <row r="103" ht="30" customHeight="1">
      <c r="A103" s="56" t="inlineStr">
        <is>
          <t>SUMINISTRO</t>
        </is>
      </c>
      <c r="B103" s="3" t="inlineStr">
        <is>
          <t>5.2.101</t>
        </is>
      </c>
      <c r="C103" s="40" t="inlineStr">
        <is>
          <t>Pantallas de video</t>
        </is>
      </c>
      <c r="D103" s="3" t="inlineStr">
        <is>
          <t>UND</t>
        </is>
      </c>
      <c r="E103" s="3" t="inlineStr">
        <is>
          <t>16</t>
        </is>
      </c>
      <c r="F103" s="166" t="n">
        <v>25000000</v>
      </c>
      <c r="G103" s="166" t="n">
        <v>400000000</v>
      </c>
    </row>
    <row r="104" ht="15.75" customHeight="1">
      <c r="A104" s="56" t="inlineStr">
        <is>
          <t>SUMINISTRO</t>
        </is>
      </c>
      <c r="B104" s="3" t="inlineStr">
        <is>
          <t>5.2.102</t>
        </is>
      </c>
      <c r="C104" s="40" t="inlineStr">
        <is>
          <t>Sistema audio</t>
        </is>
      </c>
      <c r="D104" s="3" t="inlineStr">
        <is>
          <t>UND</t>
        </is>
      </c>
      <c r="E104" s="3" t="inlineStr">
        <is>
          <t>1</t>
        </is>
      </c>
      <c r="F104" s="166" t="n">
        <v>80000000</v>
      </c>
      <c r="G104" s="166" t="n">
        <v>80000000</v>
      </c>
    </row>
    <row r="105" ht="30" customHeight="1">
      <c r="A105" s="56" t="inlineStr">
        <is>
          <t>SUMINISTRO</t>
        </is>
      </c>
      <c r="B105" s="3" t="inlineStr">
        <is>
          <t>5.2.103</t>
        </is>
      </c>
      <c r="C105" s="40" t="inlineStr">
        <is>
          <t>Sistema iluminación</t>
        </is>
      </c>
      <c r="D105" s="3" t="inlineStr">
        <is>
          <t>UND</t>
        </is>
      </c>
      <c r="E105" s="3" t="inlineStr">
        <is>
          <t>1</t>
        </is>
      </c>
      <c r="F105" s="166" t="n">
        <v>60000000</v>
      </c>
      <c r="G105" s="166" t="n">
        <v>60000000</v>
      </c>
    </row>
    <row r="106" ht="30" customHeight="1">
      <c r="A106" s="56" t="inlineStr">
        <is>
          <t>SUMINISTRO</t>
        </is>
      </c>
      <c r="B106" s="3" t="inlineStr">
        <is>
          <t>5.2.104</t>
        </is>
      </c>
      <c r="C106" s="40" t="inlineStr">
        <is>
          <t>Muebles y accesorios</t>
        </is>
      </c>
      <c r="D106" s="3" t="inlineStr">
        <is>
          <t>UND</t>
        </is>
      </c>
      <c r="E106" s="3" t="inlineStr">
        <is>
          <t>1</t>
        </is>
      </c>
      <c r="F106" s="166" t="n">
        <v>100000000</v>
      </c>
      <c r="G106" s="166" t="n">
        <v>100000000</v>
      </c>
    </row>
    <row r="107" ht="30" customHeight="1">
      <c r="A107" s="56" t="inlineStr">
        <is>
          <t>SUMINISTRO</t>
        </is>
      </c>
      <c r="B107" s="3" t="inlineStr">
        <is>
          <t>5.3.100</t>
        </is>
      </c>
      <c r="C107" s="40" t="inlineStr">
        <is>
          <t>Servidores SCADA</t>
        </is>
      </c>
      <c r="D107" s="3" t="inlineStr">
        <is>
          <t>UND</t>
        </is>
      </c>
      <c r="E107" s="3" t="inlineStr">
        <is>
          <t>2</t>
        </is>
      </c>
      <c r="F107" s="166" t="n">
        <v>400000000</v>
      </c>
      <c r="G107" s="166" t="n">
        <v>800000000</v>
      </c>
    </row>
    <row r="108" ht="15.75" customHeight="1">
      <c r="A108" s="56" t="inlineStr">
        <is>
          <t>SUMINISTRO</t>
        </is>
      </c>
      <c r="B108" s="3" t="inlineStr">
        <is>
          <t>5.3.101</t>
        </is>
      </c>
      <c r="C108" s="40" t="inlineStr">
        <is>
          <t>Software SCADA</t>
        </is>
      </c>
      <c r="D108" s="3" t="inlineStr">
        <is>
          <t>UND</t>
        </is>
      </c>
      <c r="E108" s="3" t="inlineStr">
        <is>
          <t>1</t>
        </is>
      </c>
      <c r="F108" s="166" t="n">
        <v>5000000000</v>
      </c>
      <c r="G108" s="166" t="n">
        <v>5000000000</v>
      </c>
    </row>
    <row r="109" ht="15.75" customHeight="1">
      <c r="A109" s="56" t="inlineStr">
        <is>
          <t>SUMINISTRO</t>
        </is>
      </c>
      <c r="B109" s="3" t="inlineStr">
        <is>
          <t>5.3.102</t>
        </is>
      </c>
      <c r="C109" s="40" t="inlineStr">
        <is>
          <t>Base de datos</t>
        </is>
      </c>
      <c r="D109" s="3" t="inlineStr">
        <is>
          <t>UND</t>
        </is>
      </c>
      <c r="E109" s="3" t="inlineStr">
        <is>
          <t>1</t>
        </is>
      </c>
      <c r="F109" s="166" t="n">
        <v>150000000</v>
      </c>
      <c r="G109" s="166" t="n">
        <v>150000000</v>
      </c>
    </row>
    <row r="110" ht="30" customHeight="1">
      <c r="A110" s="56" t="inlineStr">
        <is>
          <t>SUMINISTRO</t>
        </is>
      </c>
      <c r="B110" s="3" t="inlineStr">
        <is>
          <t>5.3.103</t>
        </is>
      </c>
      <c r="C110" s="40" t="inlineStr">
        <is>
          <t>Interfaces comunicación</t>
        </is>
      </c>
      <c r="D110" s="3" t="inlineStr">
        <is>
          <t>UND</t>
        </is>
      </c>
      <c r="E110" s="3" t="inlineStr">
        <is>
          <t>1</t>
        </is>
      </c>
      <c r="F110" s="166" t="n">
        <v>4112000000</v>
      </c>
      <c r="G110" s="166" t="n">
        <v>4112000000</v>
      </c>
    </row>
    <row r="111" ht="30" customHeight="1">
      <c r="A111" s="56" t="inlineStr">
        <is>
          <t>SUMINISTRO</t>
        </is>
      </c>
      <c r="B111" s="3" t="inlineStr">
        <is>
          <t>5.3.104</t>
        </is>
      </c>
      <c r="C111" s="40" t="inlineStr">
        <is>
          <t>Sistema redundancia</t>
        </is>
      </c>
      <c r="D111" s="3" t="inlineStr">
        <is>
          <t>UND</t>
        </is>
      </c>
      <c r="E111" s="3" t="inlineStr">
        <is>
          <t>1</t>
        </is>
      </c>
      <c r="F111" s="166" t="n">
        <v>300000000</v>
      </c>
      <c r="G111" s="166" t="n">
        <v>300000000</v>
      </c>
    </row>
    <row r="112" ht="30" customHeight="1">
      <c r="A112" s="56" t="inlineStr">
        <is>
          <t>SUMINISTRO</t>
        </is>
      </c>
      <c r="B112" s="3" t="inlineStr">
        <is>
          <t>6.1.100</t>
        </is>
      </c>
      <c r="C112" s="40" t="inlineStr">
        <is>
          <t>Sistemas PTC embarcados</t>
        </is>
      </c>
      <c r="D112" s="3" t="inlineStr">
        <is>
          <t>UND</t>
        </is>
      </c>
      <c r="E112" s="3" t="inlineStr">
        <is>
          <t>15</t>
        </is>
      </c>
      <c r="F112" s="166" t="n">
        <v>400000000</v>
      </c>
      <c r="G112" s="166" t="n">
        <v>6000000000</v>
      </c>
    </row>
    <row r="113" ht="30" customHeight="1">
      <c r="A113" s="56" t="inlineStr">
        <is>
          <t>SUMINISTRO</t>
        </is>
      </c>
      <c r="B113" s="3" t="inlineStr">
        <is>
          <t>6.1.101</t>
        </is>
      </c>
      <c r="C113" s="40" t="inlineStr">
        <is>
          <t>Radios TETRA embarcados</t>
        </is>
      </c>
      <c r="D113" s="3" t="inlineStr">
        <is>
          <t>UND</t>
        </is>
      </c>
      <c r="E113" s="3" t="inlineStr">
        <is>
          <t>30</t>
        </is>
      </c>
      <c r="F113" s="166" t="n">
        <v>35000000</v>
      </c>
      <c r="G113" s="166" t="n">
        <v>1050000000</v>
      </c>
    </row>
    <row r="114" ht="105" customHeight="1">
      <c r="A114" s="56" t="inlineStr">
        <is>
          <t>SUMINISTRO</t>
        </is>
      </c>
      <c r="B114" s="3" t="inlineStr">
        <is>
          <t>6.1.102</t>
        </is>
      </c>
      <c r="C114" s="40" t="inlineStr">
        <is>
          <t>Radios embarcados — red móvil broadband ferroviaria (complemento TETRA)</t>
        </is>
      </c>
      <c r="D114" s="3" t="inlineStr">
        <is>
          <t>UND</t>
        </is>
      </c>
      <c r="E114" s="3" t="inlineStr">
        <is>
          <t>30</t>
        </is>
      </c>
      <c r="F114" s="166" t="n">
        <v>25000000</v>
      </c>
      <c r="G114" s="166" t="n">
        <v>750000000</v>
      </c>
    </row>
    <row r="115" ht="15.75" customHeight="1">
      <c r="A115" s="56" t="inlineStr">
        <is>
          <t>SUMINISTRO</t>
        </is>
      </c>
      <c r="B115" s="3" t="inlineStr">
        <is>
          <t>6.1.103</t>
        </is>
      </c>
      <c r="C115" s="40" t="inlineStr">
        <is>
          <t>Sistemas GPS</t>
        </is>
      </c>
      <c r="D115" s="3" t="inlineStr">
        <is>
          <t>UND</t>
        </is>
      </c>
      <c r="E115" s="3" t="inlineStr">
        <is>
          <t>15</t>
        </is>
      </c>
      <c r="F115" s="166" t="n">
        <v>35000000</v>
      </c>
      <c r="G115" s="166" t="n">
        <v>525000000</v>
      </c>
    </row>
    <row r="116" ht="30" customHeight="1">
      <c r="A116" s="56" t="inlineStr">
        <is>
          <t>SUMINISTRO</t>
        </is>
      </c>
      <c r="B116" s="3" t="inlineStr">
        <is>
          <t>6.1.104</t>
        </is>
      </c>
      <c r="C116" s="40" t="inlineStr">
        <is>
          <t>Sistemas redundancia</t>
        </is>
      </c>
      <c r="D116" s="3" t="inlineStr">
        <is>
          <t>UND</t>
        </is>
      </c>
      <c r="E116" s="3" t="inlineStr">
        <is>
          <t>15</t>
        </is>
      </c>
      <c r="F116" s="166" t="n">
        <v>80000000</v>
      </c>
      <c r="G116" s="166" t="n">
        <v>1200000000</v>
      </c>
    </row>
    <row r="117" ht="15.75" customHeight="1">
      <c r="A117" s="56" t="inlineStr">
        <is>
          <t>SUMINISTRO</t>
        </is>
      </c>
      <c r="B117" s="3" t="inlineStr">
        <is>
          <t>6.1.106</t>
        </is>
      </c>
      <c r="C117" s="40" t="inlineStr">
        <is>
          <t>Repuestos (10%)</t>
        </is>
      </c>
      <c r="D117" s="3" t="inlineStr">
        <is>
          <t>UND</t>
        </is>
      </c>
      <c r="E117" s="3" t="inlineStr">
        <is>
          <t>1</t>
        </is>
      </c>
      <c r="F117" s="166" t="n">
        <v>1102500000</v>
      </c>
      <c r="G117" s="166" t="n">
        <v>1102500000</v>
      </c>
    </row>
    <row r="118" ht="30" customHeight="1">
      <c r="A118" s="56" t="inlineStr">
        <is>
          <t>SUMINISTRO</t>
        </is>
      </c>
      <c r="B118" s="3" t="inlineStr">
        <is>
          <t>6.2.100</t>
        </is>
      </c>
      <c r="C118" s="40" t="inlineStr">
        <is>
          <t>Dispositivos EOT completos</t>
        </is>
      </c>
      <c r="D118" s="3" t="inlineStr">
        <is>
          <t>UND</t>
        </is>
      </c>
      <c r="E118" s="3" t="inlineStr">
        <is>
          <t>15</t>
        </is>
      </c>
      <c r="F118" s="166" t="n">
        <v>25000000</v>
      </c>
      <c r="G118" s="166" t="n">
        <v>375000000</v>
      </c>
    </row>
    <row r="119" ht="30" customHeight="1">
      <c r="A119" s="56" t="inlineStr">
        <is>
          <t>SUMINISTRO</t>
        </is>
      </c>
      <c r="B119" s="3" t="inlineStr">
        <is>
          <t>6.2.101</t>
        </is>
      </c>
      <c r="C119" s="40" t="inlineStr">
        <is>
          <t>Repuestos EOT (10%)</t>
        </is>
      </c>
      <c r="D119" s="3" t="inlineStr">
        <is>
          <t>UND</t>
        </is>
      </c>
      <c r="E119" s="3" t="inlineStr">
        <is>
          <t>2</t>
        </is>
      </c>
      <c r="F119" s="166" t="n">
        <v>25000000</v>
      </c>
      <c r="G119" s="166" t="n">
        <v>50000000</v>
      </c>
    </row>
    <row r="120" ht="15.75" customHeight="1">
      <c r="A120" s="56" t="inlineStr">
        <is>
          <t>SUMINISTRO</t>
        </is>
      </c>
      <c r="B120" s="3" t="inlineStr">
        <is>
          <t>6.2.102</t>
        </is>
      </c>
      <c r="C120" s="40" t="inlineStr">
        <is>
          <t>Instalación EOT</t>
        </is>
      </c>
      <c r="D120" s="3" t="inlineStr">
        <is>
          <t>UND</t>
        </is>
      </c>
      <c r="E120" s="3" t="inlineStr">
        <is>
          <t>15</t>
        </is>
      </c>
      <c r="F120" s="166" t="n">
        <v>5000000</v>
      </c>
      <c r="G120" s="166" t="n">
        <v>75000000</v>
      </c>
    </row>
    <row r="121" ht="30" customHeight="1">
      <c r="A121" s="59" t="inlineStr"/>
      <c r="B121" s="59" t="inlineStr"/>
      <c r="C121" s="60" t="inlineStr">
        <is>
          <t>&gt;&gt;&gt; SUBTOTAL SUMINISTRO</t>
        </is>
      </c>
      <c r="D121" s="59" t="inlineStr"/>
      <c r="E121" s="59" t="inlineStr"/>
      <c r="F121" s="167" t="inlineStr"/>
      <c r="G121" s="167" t="n">
        <v>148755895087</v>
      </c>
    </row>
    <row r="122" ht="15.75" customHeight="1">
      <c r="A122" s="3" t="n"/>
      <c r="B122" s="3" t="n"/>
      <c r="C122" s="40" t="n"/>
      <c r="D122" s="3" t="n"/>
      <c r="E122" s="3" t="n"/>
      <c r="F122" s="168" t="n"/>
      <c r="G122" s="168" t="n"/>
    </row>
    <row r="123" ht="15.75" customHeight="1">
      <c r="A123" s="57" t="inlineStr">
        <is>
          <t>OBRA</t>
        </is>
      </c>
      <c r="B123" s="3" t="inlineStr">
        <is>
          <t>2.1.106</t>
        </is>
      </c>
      <c r="C123" s="40" t="inlineStr">
        <is>
          <t>Casetas técnicas</t>
        </is>
      </c>
      <c r="D123" s="3" t="inlineStr">
        <is>
          <t>UND</t>
        </is>
      </c>
      <c r="E123" s="3" t="inlineStr">
        <is>
          <t>37</t>
        </is>
      </c>
      <c r="F123" s="166" t="n">
        <v>65000000</v>
      </c>
      <c r="G123" s="166" t="n">
        <v>2405000000</v>
      </c>
    </row>
    <row r="124" ht="15.75" customHeight="1">
      <c r="A124" s="57" t="inlineStr">
        <is>
          <t>OBRA</t>
        </is>
      </c>
      <c r="B124" s="3" t="inlineStr">
        <is>
          <t>2.1.107</t>
        </is>
      </c>
      <c r="C124" s="40" t="inlineStr">
        <is>
          <t>Cimentaciones</t>
        </is>
      </c>
      <c r="D124" s="3" t="inlineStr">
        <is>
          <t>UND</t>
        </is>
      </c>
      <c r="E124" s="3" t="inlineStr">
        <is>
          <t>37</t>
        </is>
      </c>
      <c r="F124" s="166" t="n">
        <v>25000000</v>
      </c>
      <c r="G124" s="166" t="n">
        <v>925000000</v>
      </c>
    </row>
    <row r="125" ht="30" customHeight="1">
      <c r="A125" s="57" t="inlineStr">
        <is>
          <t>OBRA</t>
        </is>
      </c>
      <c r="B125" s="3" t="inlineStr">
        <is>
          <t>2.1.108</t>
        </is>
      </c>
      <c r="C125" s="40" t="inlineStr">
        <is>
          <t>Cerramiento perimetral</t>
        </is>
      </c>
      <c r="D125" s="3" t="inlineStr">
        <is>
          <t>UND</t>
        </is>
      </c>
      <c r="E125" s="3" t="inlineStr">
        <is>
          <t>37</t>
        </is>
      </c>
      <c r="F125" s="166" t="n">
        <v>30000000</v>
      </c>
      <c r="G125" s="166" t="n">
        <v>1110000000</v>
      </c>
    </row>
    <row r="126" ht="15.75" customHeight="1">
      <c r="A126" s="57" t="inlineStr">
        <is>
          <t>OBRA</t>
        </is>
      </c>
      <c r="B126" s="3" t="inlineStr">
        <is>
          <t>2.1.109</t>
        </is>
      </c>
      <c r="C126" s="40" t="inlineStr">
        <is>
          <t>Vías de acceso</t>
        </is>
      </c>
      <c r="D126" s="3" t="inlineStr">
        <is>
          <t>UND</t>
        </is>
      </c>
      <c r="E126" s="3" t="inlineStr">
        <is>
          <t>37</t>
        </is>
      </c>
      <c r="F126" s="166" t="n">
        <v>25000000</v>
      </c>
      <c r="G126" s="166" t="n">
        <v>925000000</v>
      </c>
    </row>
    <row r="127" ht="30" customHeight="1">
      <c r="A127" s="57" t="inlineStr">
        <is>
          <t>OBRA</t>
        </is>
      </c>
      <c r="B127" s="3" t="inlineStr">
        <is>
          <t>2.1.111</t>
        </is>
      </c>
      <c r="C127" s="40" t="inlineStr">
        <is>
          <t>Montaje e instalación</t>
        </is>
      </c>
      <c r="D127" s="3" t="inlineStr">
        <is>
          <t>UND</t>
        </is>
      </c>
      <c r="E127" s="3" t="inlineStr">
        <is>
          <t>37</t>
        </is>
      </c>
      <c r="F127" s="166" t="n">
        <v>15000000</v>
      </c>
      <c r="G127" s="166" t="n">
        <v>555000000</v>
      </c>
    </row>
    <row r="128" ht="75" customHeight="1">
      <c r="A128" s="57" t="inlineStr">
        <is>
          <t>OBRA</t>
        </is>
      </c>
      <c r="B128" s="3" t="inlineStr">
        <is>
          <t>2.3.101</t>
        </is>
      </c>
      <c r="C128" s="40" t="inlineStr">
        <is>
          <t>Mano de obra instalación (Tendido 526km + 10% Gasa Técnica)</t>
        </is>
      </c>
      <c r="D128" s="3" t="inlineStr">
        <is>
          <t>KM</t>
        </is>
      </c>
      <c r="E128" s="3" t="inlineStr">
        <is>
          <t>579</t>
        </is>
      </c>
      <c r="F128" s="166" t="n">
        <v>90188987</v>
      </c>
      <c r="G128" s="166" t="n">
        <v>52219423473</v>
      </c>
    </row>
    <row r="129" ht="30" customHeight="1">
      <c r="A129" s="62" t="inlineStr"/>
      <c r="B129" s="62" t="inlineStr"/>
      <c r="C129" s="63" t="inlineStr">
        <is>
          <t>&gt;&gt;&gt; SUBTOTAL OBRA</t>
        </is>
      </c>
      <c r="D129" s="62" t="inlineStr"/>
      <c r="E129" s="62" t="inlineStr"/>
      <c r="F129" s="169" t="inlineStr"/>
      <c r="G129" s="169" t="n">
        <v>58139423473</v>
      </c>
    </row>
    <row r="130" ht="15.75" customHeight="1">
      <c r="A130" s="3" t="n"/>
      <c r="B130" s="3" t="n"/>
      <c r="C130" s="40" t="n"/>
      <c r="D130" s="3" t="n"/>
      <c r="E130" s="3" t="n"/>
      <c r="F130" s="166" t="n"/>
      <c r="G130" s="166" t="n"/>
    </row>
    <row r="131" ht="30" customHeight="1">
      <c r="A131" s="58" t="inlineStr">
        <is>
          <t>SERVICIO</t>
        </is>
      </c>
      <c r="B131" s="3" t="inlineStr">
        <is>
          <t>2.1.112</t>
        </is>
      </c>
      <c r="C131" s="40" t="inlineStr">
        <is>
          <t>Configuración red</t>
        </is>
      </c>
      <c r="D131" s="3" t="inlineStr">
        <is>
          <t>UND</t>
        </is>
      </c>
      <c r="E131" s="3" t="inlineStr">
        <is>
          <t>1</t>
        </is>
      </c>
      <c r="F131" s="166" t="n">
        <v>200000000</v>
      </c>
      <c r="G131" s="166" t="n">
        <v>200000000</v>
      </c>
    </row>
    <row r="132" ht="30" customHeight="1">
      <c r="A132" s="58" t="inlineStr">
        <is>
          <t>SERVICIO</t>
        </is>
      </c>
      <c r="B132" s="3" t="inlineStr">
        <is>
          <t>2.1.113</t>
        </is>
      </c>
      <c r="C132" s="40" t="inlineStr">
        <is>
          <t>Pruebas cobertura</t>
        </is>
      </c>
      <c r="D132" s="3" t="inlineStr">
        <is>
          <t>UND</t>
        </is>
      </c>
      <c r="E132" s="3" t="inlineStr">
        <is>
          <t>1</t>
        </is>
      </c>
      <c r="F132" s="166" t="n">
        <v>150000000</v>
      </c>
      <c r="G132" s="166" t="n">
        <v>150000000</v>
      </c>
    </row>
    <row r="133" ht="15.75" customHeight="1">
      <c r="A133" s="58" t="inlineStr">
        <is>
          <t>SERVICIO</t>
        </is>
      </c>
      <c r="B133" s="3" t="inlineStr">
        <is>
          <t>2.1.114</t>
        </is>
      </c>
      <c r="C133" s="40" t="inlineStr">
        <is>
          <t>Capacitación</t>
        </is>
      </c>
      <c r="D133" s="3" t="inlineStr">
        <is>
          <t>UND</t>
        </is>
      </c>
      <c r="E133" s="3" t="inlineStr">
        <is>
          <t>1</t>
        </is>
      </c>
      <c r="F133" s="166" t="n">
        <v>100000000</v>
      </c>
      <c r="G133" s="166" t="n">
        <v>100000000</v>
      </c>
    </row>
    <row r="134" ht="30" customHeight="1">
      <c r="A134" s="58" t="inlineStr">
        <is>
          <t>SERVICIO</t>
        </is>
      </c>
      <c r="B134" s="3" t="inlineStr">
        <is>
          <t>2.2.106</t>
        </is>
      </c>
      <c r="C134" s="40" t="inlineStr">
        <is>
          <t>Configuración dual</t>
        </is>
      </c>
      <c r="D134" s="3" t="inlineStr">
        <is>
          <t>UND</t>
        </is>
      </c>
      <c r="E134" s="3" t="inlineStr">
        <is>
          <t>1</t>
        </is>
      </c>
      <c r="F134" s="166" t="n">
        <v>100000000</v>
      </c>
      <c r="G134" s="166" t="n">
        <v>100000000</v>
      </c>
    </row>
    <row r="135" ht="30" customHeight="1">
      <c r="A135" s="58" t="inlineStr">
        <is>
          <t>SERVICIO</t>
        </is>
      </c>
      <c r="B135" s="3" t="inlineStr">
        <is>
          <t>2.2.107</t>
        </is>
      </c>
      <c r="C135" s="40" t="inlineStr">
        <is>
          <t>Pruebas integración</t>
        </is>
      </c>
      <c r="D135" s="3" t="inlineStr">
        <is>
          <t>UND</t>
        </is>
      </c>
      <c r="E135" s="3" t="inlineStr">
        <is>
          <t>1</t>
        </is>
      </c>
      <c r="F135" s="166" t="n">
        <v>80000000</v>
      </c>
      <c r="G135" s="166" t="n">
        <v>80000000</v>
      </c>
    </row>
    <row r="136" ht="30" customHeight="1">
      <c r="A136" s="58" t="inlineStr">
        <is>
          <t>SERVICIO</t>
        </is>
      </c>
      <c r="B136" s="3" t="inlineStr">
        <is>
          <t>3.1.108</t>
        </is>
      </c>
      <c r="C136" s="40" t="inlineStr">
        <is>
          <t>Instalación y configuración</t>
        </is>
      </c>
      <c r="D136" s="3" t="inlineStr">
        <is>
          <t>UND</t>
        </is>
      </c>
      <c r="E136" s="3" t="inlineStr">
        <is>
          <t>73</t>
        </is>
      </c>
      <c r="F136" s="166" t="n">
        <v>2000000</v>
      </c>
      <c r="G136" s="166" t="n">
        <v>146000000</v>
      </c>
    </row>
    <row r="137" ht="30" customHeight="1">
      <c r="A137" s="58" t="inlineStr">
        <is>
          <t>SERVICIO</t>
        </is>
      </c>
      <c r="B137" s="3" t="inlineStr">
        <is>
          <t>3.2.106</t>
        </is>
      </c>
      <c r="C137" s="40" t="inlineStr">
        <is>
          <t>Instalación y configuración</t>
        </is>
      </c>
      <c r="D137" s="3" t="inlineStr">
        <is>
          <t>UND</t>
        </is>
      </c>
      <c r="E137" s="3" t="inlineStr">
        <is>
          <t>1</t>
        </is>
      </c>
      <c r="F137" s="166" t="n">
        <v>100000000</v>
      </c>
      <c r="G137" s="166" t="n">
        <v>100000000</v>
      </c>
    </row>
    <row r="138" ht="30" customHeight="1">
      <c r="A138" s="58" t="inlineStr">
        <is>
          <t>SERVICIO</t>
        </is>
      </c>
      <c r="B138" s="3" t="inlineStr">
        <is>
          <t>4.1.105</t>
        </is>
      </c>
      <c r="C138" s="40" t="inlineStr">
        <is>
          <t>Instalación y configuración</t>
        </is>
      </c>
      <c r="D138" s="3" t="inlineStr">
        <is>
          <t>UND</t>
        </is>
      </c>
      <c r="E138" s="3" t="inlineStr">
        <is>
          <t>9</t>
        </is>
      </c>
      <c r="F138" s="166" t="n">
        <v>200000000</v>
      </c>
      <c r="G138" s="166" t="n">
        <v>1800000000</v>
      </c>
    </row>
    <row r="139" ht="15.75" customHeight="1">
      <c r="A139" s="58" t="inlineStr">
        <is>
          <t>SERVICIO</t>
        </is>
      </c>
      <c r="B139" s="3" t="inlineStr">
        <is>
          <t>5.3.105</t>
        </is>
      </c>
      <c r="C139" s="40" t="inlineStr">
        <is>
          <t>Configuración</t>
        </is>
      </c>
      <c r="D139" s="3" t="inlineStr">
        <is>
          <t>UND</t>
        </is>
      </c>
      <c r="E139" s="3" t="inlineStr">
        <is>
          <t>1</t>
        </is>
      </c>
      <c r="F139" s="166" t="n">
        <v>100000000</v>
      </c>
      <c r="G139" s="166" t="n">
        <v>100000000</v>
      </c>
    </row>
    <row r="140" ht="30" customHeight="1">
      <c r="A140" s="58" t="inlineStr">
        <is>
          <t>SERVICIO</t>
        </is>
      </c>
      <c r="B140" s="3" t="inlineStr">
        <is>
          <t>6.1.105</t>
        </is>
      </c>
      <c r="C140" s="40" t="inlineStr">
        <is>
          <t>Instalación y configuración</t>
        </is>
      </c>
      <c r="D140" s="3" t="inlineStr">
        <is>
          <t>UND</t>
        </is>
      </c>
      <c r="E140" s="3" t="inlineStr">
        <is>
          <t>15</t>
        </is>
      </c>
      <c r="F140" s="166" t="n">
        <v>100000000</v>
      </c>
      <c r="G140" s="166" t="n">
        <v>1500000000</v>
      </c>
    </row>
    <row r="141" ht="30" customHeight="1">
      <c r="A141" s="58" t="inlineStr">
        <is>
          <t>SERVICIO</t>
        </is>
      </c>
      <c r="B141" s="3" t="inlineStr">
        <is>
          <t>6.2.103</t>
        </is>
      </c>
      <c r="C141" s="40" t="inlineStr">
        <is>
          <t>Configuración EOT</t>
        </is>
      </c>
      <c r="D141" s="3" t="inlineStr">
        <is>
          <t>UND</t>
        </is>
      </c>
      <c r="E141" s="3" t="inlineStr">
        <is>
          <t>1</t>
        </is>
      </c>
      <c r="F141" s="166" t="n">
        <v>20000000</v>
      </c>
      <c r="G141" s="166" t="n">
        <v>20000000</v>
      </c>
    </row>
    <row r="142" ht="30" customHeight="1">
      <c r="A142" s="65" t="inlineStr"/>
      <c r="B142" s="65" t="inlineStr"/>
      <c r="C142" s="66" t="inlineStr">
        <is>
          <t>&gt;&gt;&gt; SUBTOTAL SERVICIO</t>
        </is>
      </c>
      <c r="D142" s="65" t="inlineStr"/>
      <c r="E142" s="65" t="inlineStr"/>
      <c r="F142" s="170" t="inlineStr"/>
      <c r="G142" s="170" t="n">
        <v>4296000000</v>
      </c>
    </row>
    <row r="143" ht="16.5" customHeight="1" thickBot="1">
      <c r="F143" s="171" t="n"/>
      <c r="G143" s="171" t="n"/>
    </row>
    <row r="144" ht="15.75" customHeight="1">
      <c r="A144" s="68" t="inlineStr"/>
      <c r="B144" s="69" t="inlineStr"/>
      <c r="C144" s="69" t="inlineStr">
        <is>
          <t>&gt;&gt;&gt; Costo Directo (CD)</t>
        </is>
      </c>
      <c r="D144" s="69" t="inlineStr"/>
      <c r="E144" s="69" t="inlineStr"/>
      <c r="F144" s="172" t="inlineStr"/>
      <c r="G144" s="173" t="n">
        <v>211191318560</v>
      </c>
    </row>
    <row r="145" ht="15.75" customHeight="1">
      <c r="A145" s="8" t="inlineStr"/>
      <c r="B145" s="18" t="inlineStr"/>
      <c r="C145" s="18" t="inlineStr">
        <is>
          <t>AIU sobre Obra Civil (33%)</t>
        </is>
      </c>
      <c r="D145" s="18" t="inlineStr"/>
      <c r="E145" s="18" t="inlineStr"/>
      <c r="F145" s="174" t="inlineStr"/>
      <c r="G145" s="175" t="n">
        <v>19186009747</v>
      </c>
    </row>
    <row r="146" ht="15.75" customHeight="1">
      <c r="A146" s="8" t="inlineStr"/>
      <c r="B146" s="18" t="inlineStr"/>
      <c r="C146" s="18" t="inlineStr">
        <is>
          <t>IVA Total</t>
        </is>
      </c>
      <c r="D146" s="18" t="inlineStr"/>
      <c r="E146" s="18" t="inlineStr"/>
      <c r="F146" s="174" t="inlineStr"/>
      <c r="G146" s="175" t="n">
        <v>29632184590</v>
      </c>
    </row>
    <row r="147" ht="16.5" customHeight="1" thickBot="1">
      <c r="A147" s="74" t="inlineStr"/>
      <c r="B147" s="75" t="inlineStr"/>
      <c r="C147" s="75" t="inlineStr">
        <is>
          <t>TOTAL PROYECTO (COP)</t>
        </is>
      </c>
      <c r="D147" s="75" t="inlineStr"/>
      <c r="E147" s="75" t="inlineStr"/>
      <c r="F147" s="176" t="inlineStr"/>
      <c r="G147" s="177" t="n">
        <v>260009512897</v>
      </c>
    </row>
    <row r="148" ht="15.75" customHeight="1"/>
  </sheetData>
  <mergeCells count="2">
    <mergeCell ref="A2:G2"/>
    <mergeCell ref="A1:G1"/>
  </mergeCells>
  <pageMargins left="0.5" right="0.5" top="0.5" bottom="0.5" header="0.25" footer="0.25"/>
  <pageSetup orientation="landscape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F4" sqref="F4"/>
    </sheetView>
  </sheetViews>
  <sheetFormatPr baseColWidth="10" defaultRowHeight="15"/>
  <cols>
    <col width="6.625" customWidth="1" min="1" max="1"/>
    <col width="33.375" customWidth="1" min="2" max="2"/>
    <col width="19.125" customWidth="1" min="3" max="12"/>
  </cols>
  <sheetData>
    <row r="1" ht="30" customHeight="1">
      <c r="A1" s="53" t="inlineStr">
        <is>
          <t>DESGLOSE AIU + IVA POR CAPÍTULO</t>
        </is>
      </c>
    </row>
    <row r="2" ht="15.75" customHeight="1">
      <c r="A2" s="136" t="inlineStr">
        <is>
          <t>AIU 33% = Adm 23% + Imp 5% + Util 5% (todo sobre Obra Civil) · IVA = 19% Sum + 19% Serv + 19% × 5% Util Obra</t>
        </is>
      </c>
    </row>
    <row r="3" ht="15.75" customHeight="1"/>
    <row r="4" ht="26.1" customHeight="1">
      <c r="A4" s="24" t="inlineStr">
        <is>
          <t>CAP</t>
        </is>
      </c>
      <c r="B4" s="25" t="inlineStr">
        <is>
          <t>NOMBRE</t>
        </is>
      </c>
      <c r="C4" s="25" t="inlineStr">
        <is>
          <t>CD</t>
        </is>
      </c>
      <c r="D4" s="25" t="inlineStr">
        <is>
          <t>Adm 23%</t>
        </is>
      </c>
      <c r="E4" s="25" t="inlineStr">
        <is>
          <t>Imp 5%</t>
        </is>
      </c>
      <c r="F4" s="25" t="inlineStr">
        <is>
          <t>Util 5%</t>
        </is>
      </c>
      <c r="G4" s="25" t="inlineStr">
        <is>
          <t>AIU Total</t>
        </is>
      </c>
      <c r="H4" s="25" t="inlineStr">
        <is>
          <t>IVA Sum</t>
        </is>
      </c>
      <c r="I4" s="25" t="inlineStr">
        <is>
          <t>IVA Serv</t>
        </is>
      </c>
      <c r="J4" s="25" t="inlineStr">
        <is>
          <t>IVA Util</t>
        </is>
      </c>
      <c r="K4" s="25" t="inlineStr">
        <is>
          <t>IVA Total</t>
        </is>
      </c>
      <c r="L4" s="26" t="inlineStr">
        <is>
          <t>TOTAL CAP</t>
        </is>
      </c>
    </row>
    <row r="5" ht="15.75" customHeight="1">
      <c r="A5" s="27" t="inlineStr">
        <is>
          <t>1</t>
        </is>
      </c>
      <c r="B5" s="9" t="inlineStr">
        <is>
          <t>CONTROL Y SENALIZACIÓN VIRTUAL</t>
        </is>
      </c>
      <c r="C5" s="153" t="n">
        <v>70398425000</v>
      </c>
      <c r="D5" s="153" t="n">
        <v>0</v>
      </c>
      <c r="E5" s="153" t="n">
        <v>0</v>
      </c>
      <c r="F5" s="153" t="n">
        <v>0</v>
      </c>
      <c r="G5" s="178" t="n">
        <v>0</v>
      </c>
      <c r="H5" s="153" t="n">
        <v>13375700750</v>
      </c>
      <c r="I5" s="153" t="n">
        <v>0</v>
      </c>
      <c r="J5" s="153" t="n">
        <v>0</v>
      </c>
      <c r="K5" s="179" t="n">
        <v>13375700750</v>
      </c>
      <c r="L5" s="180" t="n">
        <v>83774125750</v>
      </c>
    </row>
    <row r="6" ht="15.75" customHeight="1">
      <c r="A6" s="27" t="inlineStr">
        <is>
          <t>2</t>
        </is>
      </c>
      <c r="B6" s="9" t="inlineStr">
        <is>
          <t>TELECOMUNICACIONES COLOCALIZADAS</t>
        </is>
      </c>
      <c r="C6" s="153" t="n">
        <v>88113093560</v>
      </c>
      <c r="D6" s="153" t="n">
        <v>13372067399</v>
      </c>
      <c r="E6" s="153" t="n">
        <v>2906971174</v>
      </c>
      <c r="F6" s="153" t="n">
        <v>2906971174</v>
      </c>
      <c r="G6" s="178" t="n">
        <v>19186009747</v>
      </c>
      <c r="H6" s="153" t="n">
        <v>5575297317</v>
      </c>
      <c r="I6" s="153" t="n">
        <v>119700000</v>
      </c>
      <c r="J6" s="153" t="n">
        <v>552324523</v>
      </c>
      <c r="K6" s="179" t="n">
        <v>6247321840</v>
      </c>
      <c r="L6" s="180" t="n">
        <v>113546425147</v>
      </c>
    </row>
    <row r="7" ht="15.75" customHeight="1">
      <c r="A7" s="27" t="inlineStr">
        <is>
          <t>3</t>
        </is>
      </c>
      <c r="B7" s="9" t="inlineStr">
        <is>
          <t>SISTEMAS ITS Y SEGURIDAD</t>
        </is>
      </c>
      <c r="C7" s="153" t="n">
        <v>5382300000</v>
      </c>
      <c r="D7" s="153" t="n">
        <v>0</v>
      </c>
      <c r="E7" s="153" t="n">
        <v>0</v>
      </c>
      <c r="F7" s="153" t="n">
        <v>0</v>
      </c>
      <c r="G7" s="178" t="n">
        <v>0</v>
      </c>
      <c r="H7" s="153" t="n">
        <v>975897000</v>
      </c>
      <c r="I7" s="153" t="n">
        <v>46740000</v>
      </c>
      <c r="J7" s="153" t="n">
        <v>0</v>
      </c>
      <c r="K7" s="179" t="n">
        <v>1022637000</v>
      </c>
      <c r="L7" s="180" t="n">
        <v>6404937000</v>
      </c>
    </row>
    <row r="8" ht="15.75" customHeight="1">
      <c r="A8" s="27" t="inlineStr">
        <is>
          <t>4</t>
        </is>
      </c>
      <c r="B8" s="9" t="inlineStr">
        <is>
          <t>PASOS A NIVEL</t>
        </is>
      </c>
      <c r="C8" s="153" t="n">
        <v>18238000000</v>
      </c>
      <c r="D8" s="153" t="n">
        <v>0</v>
      </c>
      <c r="E8" s="153" t="n">
        <v>0</v>
      </c>
      <c r="F8" s="153" t="n">
        <v>0</v>
      </c>
      <c r="G8" s="178" t="n">
        <v>0</v>
      </c>
      <c r="H8" s="153" t="n">
        <v>3123220000</v>
      </c>
      <c r="I8" s="153" t="n">
        <v>342000000</v>
      </c>
      <c r="J8" s="153" t="n">
        <v>0</v>
      </c>
      <c r="K8" s="179" t="n">
        <v>3465220000</v>
      </c>
      <c r="L8" s="180" t="n">
        <v>21703220000</v>
      </c>
    </row>
    <row r="9" ht="15.75" customHeight="1">
      <c r="A9" s="27" t="inlineStr">
        <is>
          <t>5</t>
        </is>
      </c>
      <c r="B9" s="9" t="inlineStr">
        <is>
          <t>CENTRO DE CONTROL OPERACIONAL</t>
        </is>
      </c>
      <c r="C9" s="153" t="n">
        <v>16412000000</v>
      </c>
      <c r="D9" s="153" t="n">
        <v>0</v>
      </c>
      <c r="E9" s="153" t="n">
        <v>0</v>
      </c>
      <c r="F9" s="153" t="n">
        <v>0</v>
      </c>
      <c r="G9" s="178" t="n">
        <v>0</v>
      </c>
      <c r="H9" s="153" t="n">
        <v>3099280000</v>
      </c>
      <c r="I9" s="153" t="n">
        <v>19000000</v>
      </c>
      <c r="J9" s="153" t="n">
        <v>0</v>
      </c>
      <c r="K9" s="179" t="n">
        <v>3118280000</v>
      </c>
      <c r="L9" s="180" t="n">
        <v>19530280000</v>
      </c>
    </row>
    <row r="10" ht="15.75" customHeight="1">
      <c r="A10" s="27" t="inlineStr">
        <is>
          <t>6</t>
        </is>
      </c>
      <c r="B10" s="9" t="inlineStr">
        <is>
          <t>MATERIAL RODANTE</t>
        </is>
      </c>
      <c r="C10" s="153" t="n">
        <v>12647500000</v>
      </c>
      <c r="D10" s="153" t="n">
        <v>0</v>
      </c>
      <c r="E10" s="153" t="n">
        <v>0</v>
      </c>
      <c r="F10" s="153" t="n">
        <v>0</v>
      </c>
      <c r="G10" s="178" t="n">
        <v>0</v>
      </c>
      <c r="H10" s="153" t="n">
        <v>2114225000</v>
      </c>
      <c r="I10" s="153" t="n">
        <v>288800000</v>
      </c>
      <c r="J10" s="153" t="n">
        <v>0</v>
      </c>
      <c r="K10" s="179" t="n">
        <v>2403025000</v>
      </c>
      <c r="L10" s="180" t="n">
        <v>15050525000</v>
      </c>
    </row>
    <row r="11" ht="15.75" customHeight="1">
      <c r="A11" s="81" t="inlineStr"/>
      <c r="B11" s="82" t="inlineStr">
        <is>
          <t>TOTAL</t>
        </is>
      </c>
      <c r="C11" s="181" t="n">
        <v>211191318560</v>
      </c>
      <c r="D11" s="182" t="inlineStr"/>
      <c r="E11" s="182" t="inlineStr"/>
      <c r="F11" s="182" t="inlineStr"/>
      <c r="G11" s="181" t="n">
        <v>19186009747</v>
      </c>
      <c r="H11" s="182" t="inlineStr"/>
      <c r="I11" s="182" t="inlineStr"/>
      <c r="J11" s="182" t="inlineStr"/>
      <c r="K11" s="181" t="n">
        <v>29632184590</v>
      </c>
      <c r="L11" s="183" t="n">
        <v>260009512897</v>
      </c>
    </row>
    <row r="12" ht="15.75" customHeight="1"/>
  </sheetData>
  <mergeCells count="2">
    <mergeCell ref="A2:L2"/>
    <mergeCell ref="A1:L1"/>
  </mergeCells>
  <pageMargins left="0.5" right="0.5" top="0.5" bottom="0.5" header="0.25" footer="0.25"/>
  <pageSetup orientation="landscape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topLeftCell="C1" workbookViewId="0">
      <pane ySplit="4" topLeftCell="A5" activePane="bottomLeft" state="frozen"/>
      <selection pane="bottomLeft" activeCell="F19" sqref="F19"/>
    </sheetView>
  </sheetViews>
  <sheetFormatPr baseColWidth="10" defaultRowHeight="15.75"/>
  <cols>
    <col width="15.875" customWidth="1" min="1" max="1"/>
    <col width="40" customWidth="1" min="2" max="2"/>
    <col width="25.875" customWidth="1" min="3" max="4"/>
    <col width="18.375" customWidth="1" min="5" max="5"/>
    <col width="56.625" customWidth="1" min="6" max="6"/>
  </cols>
  <sheetData>
    <row r="1" ht="32.1" customHeight="1">
      <c r="A1" s="184" t="inlineStr">
        <is>
          <t>PENDIENTES RFQ — Para Compras / Integradora (ART, Hitachi, etc.)</t>
        </is>
      </c>
      <c r="B1" s="185" t="n"/>
      <c r="C1" s="185" t="n"/>
      <c r="D1" s="185" t="n"/>
      <c r="E1" s="185" t="n"/>
      <c r="F1" s="186" t="n"/>
    </row>
    <row r="2">
      <c r="A2" s="187" t="inlineStr">
        <is>
          <t>Cotizaciones formales pendientes. Documentación: DT-COMS-2026-007 + precios_Adif_COMPLETO.md §4.</t>
        </is>
      </c>
      <c r="B2" s="185" t="n"/>
      <c r="C2" s="185" t="n"/>
      <c r="D2" s="185" t="n"/>
      <c r="E2" s="185" t="n"/>
      <c r="F2" s="186" t="n"/>
    </row>
    <row r="3">
      <c r="A3" s="23" t="n"/>
      <c r="B3" s="23" t="n"/>
      <c r="C3" s="23" t="n"/>
      <c r="D3" s="23" t="n"/>
      <c r="E3" s="23" t="n"/>
      <c r="F3" s="23" t="n"/>
    </row>
    <row r="4" ht="26.1" customHeight="1">
      <c r="A4" s="46" t="inlineStr">
        <is>
          <t>ÍTEM WBS</t>
        </is>
      </c>
      <c r="B4" s="91" t="inlineStr">
        <is>
          <t>CONCEPTO</t>
        </is>
      </c>
      <c r="C4" s="47" t="inlineStr">
        <is>
          <t>VU ACTUAL</t>
        </is>
      </c>
      <c r="D4" s="47" t="inlineStr">
        <is>
          <t>FUENTE</t>
        </is>
      </c>
      <c r="E4" s="47" t="inlineStr">
        <is>
          <t>ESTADO</t>
        </is>
      </c>
      <c r="F4" s="92" t="inlineStr">
        <is>
          <t>PROVEEDORES PRIORIZADOS</t>
        </is>
      </c>
    </row>
    <row r="5">
      <c r="A5" s="27" t="inlineStr">
        <is>
          <t>1.3.100-104</t>
        </is>
      </c>
      <c r="B5" s="41" t="inlineStr">
        <is>
          <t>Controlador ENCE (5 estaciones)</t>
        </is>
      </c>
      <c r="C5" s="9" t="inlineStr">
        <is>
          <t>$2,000M COP/u</t>
        </is>
      </c>
      <c r="D5" s="9" t="inlineStr">
        <is>
          <t>ADIF CAC020 + ajustes</t>
        </is>
      </c>
      <c r="E5" s="9" t="inlineStr">
        <is>
          <t>Ratificación</t>
        </is>
      </c>
      <c r="F5" s="93" t="inlineStr">
        <is>
          <t>Hima Colombia, Siemens Mobility Bogotá, Alstom regional, Bombardier</t>
        </is>
      </c>
    </row>
    <row r="6">
      <c r="A6" s="27" t="inlineStr">
        <is>
          <t>1.4.100</t>
        </is>
      </c>
      <c r="B6" s="41" t="inlineStr">
        <is>
          <t>Desvío motorizado (25u)</t>
        </is>
      </c>
      <c r="C6" s="9" t="inlineStr">
        <is>
          <t>$640M COP/u</t>
        </is>
      </c>
      <c r="D6" s="9" t="inlineStr">
        <is>
          <t>ADIF VEA010 + ajustes</t>
        </is>
      </c>
      <c r="E6" s="9" t="inlineStr">
        <is>
          <t>Ratificación</t>
        </is>
      </c>
      <c r="F6" s="93" t="inlineStr">
        <is>
          <t>Hima, Vossloh COL, Voestalpine, Schwihag</t>
        </is>
      </c>
    </row>
    <row r="7">
      <c r="A7" s="27" t="inlineStr">
        <is>
          <t>1.4.101</t>
        </is>
      </c>
      <c r="B7" s="41" t="inlineStr">
        <is>
          <t>Sistema control remoto + redundancia N+1</t>
        </is>
      </c>
      <c r="C7" s="9" t="inlineStr">
        <is>
          <t>$134.6M COP/u</t>
        </is>
      </c>
      <c r="D7" s="9" t="inlineStr">
        <is>
          <t>ADIF CBB010 + buffer N+1</t>
        </is>
      </c>
      <c r="E7" s="9" t="inlineStr">
        <is>
          <t>Ratificación</t>
        </is>
      </c>
      <c r="F7" s="93" t="inlineStr">
        <is>
          <t>Siemens SICAS, Hima, Alstom</t>
        </is>
      </c>
    </row>
    <row r="8">
      <c r="A8" s="27" t="inlineStr">
        <is>
          <t>4.1.101</t>
        </is>
      </c>
      <c r="B8" s="41" t="inlineStr">
        <is>
          <t>Señal luminosa LED</t>
        </is>
      </c>
      <c r="C8" s="9" t="inlineStr">
        <is>
          <t>$80M COP/u</t>
        </is>
      </c>
      <c r="D8" s="9" t="inlineStr">
        <is>
          <t>ADIF CCA040 + buffer</t>
        </is>
      </c>
      <c r="E8" s="9" t="inlineStr">
        <is>
          <t>Ratificación</t>
        </is>
      </c>
      <c r="F8" s="93" t="inlineStr">
        <is>
          <t>Aldridge, Siemens, Hitachi, GE Transportation</t>
        </is>
      </c>
    </row>
    <row r="9">
      <c r="A9" s="27" t="inlineStr">
        <is>
          <t>2.3.100</t>
        </is>
      </c>
      <c r="B9" s="41" t="inlineStr">
        <is>
          <t>Cable F.O. monomodo 48 hilos G.652.D OSP</t>
        </is>
      </c>
      <c r="C9" s="9" t="inlineStr">
        <is>
          <t>$9.81M COP/km × 579 km</t>
        </is>
      </c>
      <c r="D9" s="9" t="inlineStr">
        <is>
          <t>Mercado COL/LATAM</t>
        </is>
      </c>
      <c r="E9" s="9" t="inlineStr">
        <is>
          <t>RFQ urgente</t>
        </is>
      </c>
      <c r="F9" s="93" t="inlineStr">
        <is>
          <t>Furukawa Brasil, Corning LATAM, Prysmian Latam, OFS</t>
        </is>
      </c>
    </row>
    <row r="10">
      <c r="A10" s="27" t="inlineStr">
        <is>
          <t>Comp 1.3</t>
        </is>
      </c>
      <c r="B10" s="41" t="inlineStr">
        <is>
          <t>Contador de ejes (Wayside ENCE)</t>
        </is>
      </c>
      <c r="C10" s="9" t="inlineStr">
        <is>
          <t>~$4,720 USD/u (Conceptual LFC)</t>
        </is>
      </c>
      <c r="D10" s="9" t="inlineStr">
        <is>
          <t>Sin ADIF</t>
        </is>
      </c>
      <c r="E10" s="9" t="inlineStr">
        <is>
          <t>RFQ urgente</t>
        </is>
      </c>
      <c r="F10" s="93" t="inlineStr">
        <is>
          <t>Frauscher, Siemens, Thales, Voestalpine</t>
        </is>
      </c>
    </row>
    <row r="11">
      <c r="A11" s="27" t="inlineStr">
        <is>
          <t>4.1.x</t>
        </is>
      </c>
      <c r="B11" s="41" t="inlineStr">
        <is>
          <t>Armario PTC en PaN (Tipo C, SIL-3 vital)</t>
        </is>
      </c>
      <c r="C11" s="9" t="inlineStr">
        <is>
          <t>~$140k USD/u (Conceptual LFC)</t>
        </is>
      </c>
      <c r="D11" s="9" t="inlineStr">
        <is>
          <t>Sin ADIF</t>
        </is>
      </c>
      <c r="E11" s="9" t="inlineStr">
        <is>
          <t>RFQ urgente</t>
        </is>
      </c>
      <c r="F11" s="93" t="inlineStr">
        <is>
          <t>Hima HiMax, Siemens SICAS, Bombardier EBI Gate 200</t>
        </is>
      </c>
    </row>
    <row r="12">
      <c r="A12" s="42" t="inlineStr">
        <is>
          <t>Cap 10</t>
        </is>
      </c>
      <c r="B12" s="44" t="inlineStr">
        <is>
          <t>UPS 4h (signal) / 24-48h (TETRA)</t>
        </is>
      </c>
      <c r="C12" s="43" t="inlineStr">
        <is>
          <t>Pendiente</t>
        </is>
      </c>
      <c r="D12" s="43" t="inlineStr">
        <is>
          <t>BCD §10.1-10.5</t>
        </is>
      </c>
      <c r="E12" s="43" t="inlineStr">
        <is>
          <t>RFQ urgente</t>
        </is>
      </c>
      <c r="F12" s="94" t="inlineStr">
        <is>
          <t>Eaton, APC by Schneider, Riello, Hoppecke COL (LiFePO4)</t>
        </is>
      </c>
    </row>
    <row r="13" ht="30" customHeight="1">
      <c r="A13" s="42" t="inlineStr">
        <is>
          <t>2.1.116</t>
        </is>
      </c>
      <c r="B13" s="44" t="inlineStr">
        <is>
          <t>Bancos baterías UPS 24h sitios remotos TETRA (química a definir vía RFQ)</t>
        </is>
      </c>
      <c r="C13" s="43" t="inlineStr">
        <is>
          <t>$50M COP/u × 37 sitios = $1.85B</t>
        </is>
      </c>
      <c r="D13" s="43" t="inlineStr">
        <is>
          <t>Estimación interna — sin RFQ</t>
        </is>
      </c>
      <c r="E13" s="43" t="inlineStr">
        <is>
          <t>RFQ urgente</t>
        </is>
      </c>
      <c r="F13" s="94" t="inlineStr">
        <is>
          <t>Hoppecke COL, Saft, EnerSys, BYD</t>
        </is>
      </c>
    </row>
  </sheetData>
  <mergeCells count="2">
    <mergeCell ref="A2:F2"/>
    <mergeCell ref="A1:F1"/>
  </mergeCells>
  <conditionalFormatting sqref="E5:E13">
    <cfRule type="expression" priority="1" dxfId="1">
      <formula>E5="Ratificación"</formula>
    </cfRule>
    <cfRule type="expression" priority="2" dxfId="0">
      <formula>E5="RFQ urgente"</formula>
    </cfRule>
  </conditionalFormatting>
  <pageMargins left="0.5" right="0.5" top="0.5" bottom="0.5" header="0.25" footer="0.25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F19" sqref="F19"/>
    </sheetView>
  </sheetViews>
  <sheetFormatPr baseColWidth="10" defaultRowHeight="15"/>
  <cols>
    <col width="41.625" customWidth="1" min="1" max="1"/>
    <col width="21.625" customWidth="1" min="2" max="2"/>
    <col width="41.625" customWidth="1" min="3" max="3"/>
    <col width="58.375" customWidth="1" min="4" max="4"/>
  </cols>
  <sheetData>
    <row r="1" ht="30" customHeight="1">
      <c r="A1" s="53" t="inlineStr">
        <is>
          <t>FUENTES Y NOTAS — PRESUPUESTO SCC v14.7 (BCD-aligned)</t>
        </is>
      </c>
    </row>
    <row r="2" ht="15.75" customHeight="1">
      <c r="A2" s="136" t="inlineStr">
        <is>
          <t>Sesión: 2026-05-05 · BCD v001 (Ardanuy abril 2026) como SSoT técnica</t>
        </is>
      </c>
    </row>
    <row r="3" ht="15.75" customHeight="1">
      <c r="A3" s="1" t="n"/>
      <c r="B3" s="1" t="n"/>
      <c r="C3" s="1" t="n"/>
      <c r="D3" s="1" t="n"/>
    </row>
    <row r="4" ht="24" customHeight="1">
      <c r="A4" s="101" t="inlineStr">
        <is>
          <t>FUENTE</t>
        </is>
      </c>
      <c r="B4" s="101" t="inlineStr">
        <is>
          <t>TIPO</t>
        </is>
      </c>
      <c r="C4" s="102" t="inlineStr">
        <is>
          <t>COBERTURA</t>
        </is>
      </c>
      <c r="D4" s="102" t="inlineStr">
        <is>
          <t>OBSERVACIONES</t>
        </is>
      </c>
    </row>
    <row r="5" ht="30" customHeight="1">
      <c r="A5" s="9" t="inlineStr">
        <is>
          <t>BCD_SCC_v001_2026-04 (Ardanuy)</t>
        </is>
      </c>
      <c r="B5" s="9" t="inlineStr">
        <is>
          <t>Contractual</t>
        </is>
      </c>
      <c r="C5" s="41" t="inlineStr">
        <is>
          <t>Bases, parámetros y criterios de diseño SCC</t>
        </is>
      </c>
      <c r="D5" s="41" t="inlineStr">
        <is>
          <t>Trocha 914mm, fibra 48h G.652.D, 24 PaN (9C+15B), 5 ENCE, Stop &amp; Switch operacional FENOCO.</t>
        </is>
      </c>
    </row>
    <row r="6" ht="30" customHeight="1">
      <c r="A6" s="11" t="inlineStr">
        <is>
          <t>Contrato APP No. 001/2025 + AT1 + AT3</t>
        </is>
      </c>
      <c r="B6" s="11" t="inlineStr">
        <is>
          <t>Contractual</t>
        </is>
      </c>
      <c r="C6" s="100" t="inlineStr">
        <is>
          <t>Marco legal y especificaciones</t>
        </is>
      </c>
      <c r="D6" s="100" t="inlineStr">
        <is>
          <t>Jerarquía: Contrato &gt; AT1 &gt; AT3 &gt; BCD. Desempate: AREMA &gt; FRA &gt; AAR &gt; UIC.</t>
        </is>
      </c>
    </row>
    <row r="7" ht="30" customHeight="1">
      <c r="A7" s="9" t="inlineStr">
        <is>
          <t>DT-COMS-2026-007 Línea Base ADIF v1</t>
        </is>
      </c>
      <c r="B7" s="9" t="inlineStr">
        <is>
          <t>Interna SICC</t>
        </is>
      </c>
      <c r="C7" s="41" t="inlineStr">
        <is>
          <t>Precios ENCE, desvíos, señales LED</t>
        </is>
      </c>
      <c r="D7" s="41" t="inlineStr">
        <is>
          <t>Aplicado: ENCE $2,000M (CAC020), desvíos $640M (VEA010). Pendientes RFQ: Hoja 6.</t>
        </is>
      </c>
    </row>
    <row r="8" ht="15.75" customHeight="1">
      <c r="A8" s="11" t="inlineStr">
        <is>
          <t>DT-CTRL-2026-006 Flota tractiva</t>
        </is>
      </c>
      <c r="B8" s="11" t="inlineStr">
        <is>
          <t>Interna SICC</t>
        </is>
      </c>
      <c r="C8" s="100" t="inlineStr">
        <is>
          <t>Cap 1.2 PTC embarcado 15 unidades</t>
        </is>
      </c>
      <c r="D8" s="100" t="inlineStr">
        <is>
          <t>1 U18 base (AT1 §5) + 14 Factor Calidad concesionario.</t>
        </is>
      </c>
    </row>
    <row r="9" ht="30" customHeight="1">
      <c r="A9" s="9" t="inlineStr">
        <is>
          <t>BPA ADIF 2026</t>
        </is>
      </c>
      <c r="B9" s="9" t="inlineStr">
        <is>
          <t>Externo (España)</t>
        </is>
      </c>
      <c r="C9" s="41" t="inlineStr">
        <is>
          <t>Referencia europea (no contractual)</t>
        </is>
      </c>
      <c r="D9" s="41" t="inlineStr">
        <is>
          <t>VEA010 desvíos, CBB010 motores, CCA040 señales, CAC020 enclavamientos. Trocha 1,435mm — ajustar para LFC2 914mm.</t>
        </is>
      </c>
    </row>
    <row r="10" ht="30" customHeight="1">
      <c r="A10" s="11" t="inlineStr">
        <is>
          <t>Conceptual LFC</t>
        </is>
      </c>
      <c r="B10" s="11" t="inlineStr">
        <is>
          <t>Interna</t>
        </is>
      </c>
      <c r="C10" s="100" t="inlineStr">
        <is>
          <t>Referencias USD por equipo</t>
        </is>
      </c>
      <c r="D10" s="100" t="inlineStr">
        <is>
          <t>Enclavamientos $869k, motores $18.6k, señales $11.8k, armarios PTC PaN $140k, torres TETRA $73.1k.</t>
        </is>
      </c>
    </row>
    <row r="11" ht="15.75" customHeight="1">
      <c r="A11" s="9" t="inlineStr">
        <is>
          <t>Mercado COL/LATAM (estimación)</t>
        </is>
      </c>
      <c r="B11" s="9" t="inlineStr">
        <is>
          <t>Externo</t>
        </is>
      </c>
      <c r="C11" s="41" t="inlineStr">
        <is>
          <t>F.O. G.652.D 48h, baterías LiFePO4</t>
        </is>
      </c>
      <c r="D11" s="41" t="inlineStr">
        <is>
          <t>No vinculante. Pendiente RFQ — ver Hoja 6.</t>
        </is>
      </c>
    </row>
    <row r="12" ht="15.75" customHeight="1">
      <c r="A12" s="1" t="n"/>
      <c r="B12" s="1" t="n"/>
      <c r="C12" s="99" t="n"/>
      <c r="D12" s="99" t="n"/>
    </row>
    <row r="13" ht="21.95" customHeight="1">
      <c r="A13" s="105" t="inlineStr">
        <is>
          <t>CONVERSIÓN MONETARIA</t>
        </is>
      </c>
      <c r="B13" s="151" t="n"/>
      <c r="C13" s="151" t="n"/>
      <c r="D13" s="152" t="n"/>
    </row>
    <row r="14" ht="90" customHeight="1">
      <c r="A14" s="11" t="inlineStr">
        <is>
          <t>TRM Risk</t>
        </is>
      </c>
      <c r="B14" s="103" t="n">
        <v>4400</v>
      </c>
      <c r="C14" s="100" t="inlineStr">
        <is>
          <t>COP/USD</t>
        </is>
      </c>
      <c r="D14" s="100" t="inlineStr">
        <is>
          <t>Techo cobertura. Margen ~+21% vs TRM real ~3,637.</t>
        </is>
      </c>
    </row>
    <row r="15" ht="15.75" customHeight="1">
      <c r="A15" s="9" t="inlineStr">
        <is>
          <t>EUR/USD</t>
        </is>
      </c>
      <c r="B15" s="104" t="n">
        <v>1.09</v>
      </c>
      <c r="C15" s="41" t="inlineStr">
        <is>
          <t>—</t>
        </is>
      </c>
      <c r="D15" s="41" t="inlineStr">
        <is>
          <t>Paridad ECB.</t>
        </is>
      </c>
    </row>
    <row r="16" ht="15.75" customHeight="1">
      <c r="A16" s="11" t="inlineStr">
        <is>
          <t>EUR/COP cruzada</t>
        </is>
      </c>
      <c r="B16" s="103" t="n">
        <v>4796</v>
      </c>
      <c r="C16" s="100" t="inlineStr">
        <is>
          <t>COP/EUR</t>
        </is>
      </c>
      <c r="D16" s="100" t="inlineStr">
        <is>
          <t>TRM × 1.09.</t>
        </is>
      </c>
    </row>
    <row r="17" ht="15.75" customHeight="1">
      <c r="A17" s="1" t="n"/>
      <c r="B17" s="1" t="n"/>
      <c r="C17" s="1" t="n"/>
      <c r="D17" s="1" t="n"/>
    </row>
    <row r="18" ht="21.95" customHeight="1">
      <c r="A18" s="105" t="inlineStr">
        <is>
          <t>FACTORES AJUSTE SOBERANÍA TÉCNICA (ADIF → LFC2)</t>
        </is>
      </c>
      <c r="B18" s="151" t="n"/>
      <c r="C18" s="151" t="n"/>
      <c r="D18" s="152" t="n"/>
    </row>
    <row r="19" ht="15.75" customHeight="1">
      <c r="A19" s="11" t="inlineStr">
        <is>
          <t>+15-25%</t>
        </is>
      </c>
      <c r="B19" s="11" t="inlineStr">
        <is>
          <t>Trocha 914mm</t>
        </is>
      </c>
      <c r="C19" s="11" t="inlineStr">
        <is>
          <t>Baja serie, fabricación de adaptación</t>
        </is>
      </c>
      <c r="D19" s="11" t="n"/>
    </row>
    <row r="20" ht="15.75" customHeight="1">
      <c r="A20" s="9" t="inlineStr">
        <is>
          <t>+12%</t>
        </is>
      </c>
      <c r="B20" s="9" t="inlineStr">
        <is>
          <t>Logística e importación</t>
        </is>
      </c>
      <c r="C20" s="9" t="inlineStr">
        <is>
          <t>Fletes, seguros, nacionalización</t>
        </is>
      </c>
      <c r="D20" s="9" t="n"/>
    </row>
    <row r="21" ht="15.75" customHeight="1">
      <c r="A21" s="11" t="inlineStr">
        <is>
          <t>-10%</t>
        </is>
      </c>
      <c r="B21" s="11" t="inlineStr">
        <is>
          <t>Mano de obra local COL</t>
        </is>
      </c>
      <c r="C21" s="11" t="inlineStr">
        <is>
          <t>Crédito por menor costo de instalación</t>
        </is>
      </c>
      <c r="D21" s="11" t="n"/>
    </row>
    <row r="22" ht="15.75" customHeight="1">
      <c r="A22" s="1" t="n"/>
      <c r="B22" s="1" t="n"/>
      <c r="C22" s="1" t="n"/>
      <c r="D22" s="1" t="n"/>
    </row>
    <row r="23" ht="24" customHeight="1">
      <c r="A23" s="97" t="inlineStr">
        <is>
          <t>IMPORTANTE — ESTILO COSTO_PROYECTO.XLSX</t>
        </is>
      </c>
    </row>
    <row r="24" ht="15.75" customHeight="1">
      <c r="A24" s="98" t="inlineStr">
        <is>
          <t>La Hoja 3 sigue el esquema del archivo de referencia: 10 columnas A:J + TRM en M1.</t>
        </is>
      </c>
    </row>
    <row r="25" ht="15.75" customHeight="1">
      <c r="A25" s="98" t="inlineStr">
        <is>
          <t>Para activar TableStyleLight15 (bandas verdes) y referencias estructuradas Tabla2[[#This Row],[...]],</t>
        </is>
      </c>
    </row>
    <row r="26" ht="15.75" customHeight="1">
      <c r="A26" s="98" t="inlineStr">
        <is>
          <t>abrir el Excel y presionar Ctrl+T sobre A2:J135. Las fórmulas A1 ya apuntan a $M$1 y propagan automáticamente.</t>
        </is>
      </c>
    </row>
    <row r="27" ht="15.75" customHeight="1"/>
  </sheetData>
  <mergeCells count="8">
    <mergeCell ref="A1:D1"/>
    <mergeCell ref="A23:D23"/>
    <mergeCell ref="A18:D18"/>
    <mergeCell ref="A26:D26"/>
    <mergeCell ref="A25:D25"/>
    <mergeCell ref="A24:D24"/>
    <mergeCell ref="A2:D2"/>
    <mergeCell ref="A13:D13"/>
  </mergeCells>
  <pageMargins left="0.5" right="0.5" top="0.5" bottom="0.5" header="0.25" footer="0.2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2026-05-05T15:09:23Z</dcterms:created>
  <dcterms:modified xsi:type="dcterms:W3CDTF">2026-05-05T15:09:23Z</dcterms:modified>
  <cp:lastModifiedBy>Diego Leonardo Zuñiga Samboni</cp:lastModifiedBy>
</cp:coreProperties>
</file>